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f1e3ba156e4cea5/Projets/39_Websites/1_Wehome/"/>
    </mc:Choice>
  </mc:AlternateContent>
  <xr:revisionPtr revIDLastSave="0" documentId="8_{44078A7A-1421-41B7-AB80-46716841D124}" xr6:coauthVersionLast="47" xr6:coauthVersionMax="47" xr10:uidLastSave="{00000000-0000-0000-0000-000000000000}"/>
  <bookViews>
    <workbookView xWindow="-108" yWindow="-108" windowWidth="30936" windowHeight="16776" xr2:uid="{00000000-000D-0000-FFFF-FFFF00000000}"/>
  </bookViews>
  <sheets>
    <sheet name="📊 Dashboard" sheetId="1" r:id="rId1"/>
    <sheet name="📋 Leads" sheetId="2" r:id="rId2"/>
    <sheet name="📌 Guide" sheetId="3" r:id="rId3"/>
    <sheet name="🏠 Biens" sheetId="4" r:id="rId4"/>
  </sheets>
  <definedNames>
    <definedName name="_xlnm._FilterDatabase" localSheetId="3" hidden="1">'🏠 Biens'!$A$3:$T$3</definedName>
    <definedName name="_xlnm._FilterDatabase" localSheetId="1" hidden="1">'📋 Leads'!$A$1:$S$562</definedName>
    <definedName name="Z_9EE8CAEF_2C34_4792_B83B_827051FE8808_.wvu.FilterData" localSheetId="1" hidden="1">'📋 Leads'!$A$1:$S$562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 r="E19" i="1"/>
  <c r="D19" i="1"/>
  <c r="C19" i="1"/>
  <c r="B19" i="1"/>
  <c r="F18" i="1"/>
  <c r="E18" i="1"/>
  <c r="D18" i="1"/>
  <c r="C18" i="1"/>
  <c r="B18" i="1"/>
  <c r="F17" i="1"/>
  <c r="E17" i="1"/>
  <c r="D17" i="1"/>
  <c r="C17" i="1"/>
  <c r="B17" i="1"/>
  <c r="I13" i="1"/>
  <c r="H13" i="1"/>
  <c r="G13" i="1"/>
  <c r="F13" i="1"/>
  <c r="E13" i="1"/>
  <c r="D13" i="1"/>
  <c r="C13" i="1"/>
  <c r="B13" i="1"/>
  <c r="I12" i="1"/>
  <c r="H12" i="1"/>
  <c r="G12" i="1"/>
  <c r="F12" i="1"/>
  <c r="E12" i="1"/>
  <c r="D12" i="1"/>
  <c r="C12" i="1"/>
  <c r="B12" i="1"/>
  <c r="I11" i="1"/>
  <c r="H11" i="1"/>
  <c r="G11" i="1"/>
  <c r="F11" i="1"/>
  <c r="E11" i="1"/>
  <c r="D11" i="1"/>
  <c r="C11" i="1"/>
  <c r="B11" i="1"/>
  <c r="I10" i="1"/>
  <c r="H10" i="1"/>
  <c r="G10" i="1"/>
  <c r="F10" i="1"/>
  <c r="E10" i="1"/>
  <c r="D10" i="1"/>
  <c r="C10" i="1"/>
  <c r="B10" i="1"/>
  <c r="I9" i="1"/>
  <c r="H9" i="1"/>
  <c r="G9" i="1"/>
  <c r="F9" i="1"/>
  <c r="E9" i="1"/>
  <c r="D9" i="1"/>
  <c r="C9" i="1"/>
  <c r="B9" i="1"/>
  <c r="I4" i="1"/>
  <c r="H4" i="1"/>
  <c r="G4" i="1"/>
  <c r="F4" i="1"/>
  <c r="E4" i="1"/>
  <c r="D4" i="1"/>
  <c r="C4" i="1"/>
  <c r="B4" i="1"/>
  <c r="A4" i="1"/>
  <c r="A2" i="1"/>
</calcChain>
</file>

<file path=xl/sharedStrings.xml><?xml version="1.0" encoding="utf-8"?>
<sst xmlns="http://schemas.openxmlformats.org/spreadsheetml/2006/main" count="6965" uniqueCount="2415">
  <si>
    <t>WEHOME / WEOFFICE — TABLEAU DE BORD</t>
  </si>
  <si>
    <t>Leads totaux</t>
  </si>
  <si>
    <t>🔥 Immédiats</t>
  </si>
  <si>
    <t>📅 Dans 1 mois</t>
  </si>
  <si>
    <t>📅 2-3 mois</t>
  </si>
  <si>
    <t>🔄 En cours</t>
  </si>
  <si>
    <t>✅ Gagnés</t>
  </si>
  <si>
    <t>📝 Avec notes</t>
  </si>
  <si>
    <t>🏠 Biens actifs</t>
  </si>
  <si>
    <t>🔴 Chauds</t>
  </si>
  <si>
    <t>⏰  URGENCE × CATÉGORIE</t>
  </si>
  <si>
    <t>Urgence</t>
  </si>
  <si>
    <t>Total</t>
  </si>
  <si>
    <t>Achat</t>
  </si>
  <si>
    <t>Location</t>
  </si>
  <si>
    <t>Vente</t>
  </si>
  <si>
    <t>Investissement</t>
  </si>
  <si>
    <t>Louer son bien</t>
  </si>
  <si>
    <t>📝 Notes</t>
  </si>
  <si>
    <t>🔥 Immédiatement</t>
  </si>
  <si>
    <t>📅 3-6 mois</t>
  </si>
  <si>
    <t>🕐 +6 mois</t>
  </si>
  <si>
    <t>👥  ÉQUIPE</t>
  </si>
  <si>
    <t>Agent</t>
  </si>
  <si>
    <t>Leads assignés</t>
  </si>
  <si>
    <t>👑 Karim Zniber</t>
  </si>
  <si>
    <t>🟣 Oumaima</t>
  </si>
  <si>
    <t>Je ne suis pas agent :)</t>
  </si>
  <si>
    <t xml:space="preserve">wakha a khti </t>
  </si>
  <si>
    <t>🔵 Basma</t>
  </si>
  <si>
    <t>#</t>
  </si>
  <si>
    <t>Statut</t>
  </si>
  <si>
    <t>Priorité</t>
  </si>
  <si>
    <t>Categorie</t>
  </si>
  <si>
    <t>Budget</t>
  </si>
  <si>
    <t>Téléphone</t>
  </si>
  <si>
    <t>Nom</t>
  </si>
  <si>
    <t>Prénom</t>
  </si>
  <si>
    <t>Dernière relance</t>
  </si>
  <si>
    <t>Prochain RDV</t>
  </si>
  <si>
    <t>✅</t>
  </si>
  <si>
    <t>Notes / Journal</t>
  </si>
  <si>
    <t>Financement</t>
  </si>
  <si>
    <t>Ville</t>
  </si>
  <si>
    <t>Type / Bien visé</t>
  </si>
  <si>
    <t>Email</t>
  </si>
  <si>
    <t>ID Bien</t>
  </si>
  <si>
    <t>🔴 Haute</t>
  </si>
  <si>
    <t>-1M MAD</t>
  </si>
  <si>
    <t>212661155868</t>
  </si>
  <si>
    <t>بن عبد الواحد عبد الكريم</t>
  </si>
  <si>
    <t>Karim Zniber</t>
  </si>
  <si>
    <t>Studio pour sa fille Les hopitaux / 2 mars / Oasis / Palmiers MAD1M max, acheter cash | Couple</t>
  </si>
  <si>
    <t>Cash</t>
  </si>
  <si>
    <t>Casablanca</t>
  </si>
  <si>
    <t>studio ferme brettone</t>
  </si>
  <si>
    <t>Konouz.cmda@gmail.com</t>
  </si>
  <si>
    <t>212673683526</t>
  </si>
  <si>
    <t>عبدالله Mohamedboutazi</t>
  </si>
  <si>
    <t>Contactez finalement, 900,000MAD budget max, studio investissement, cash, oasis, ferme bretonne,CFC, achat immediat si on lui trouve le bien. Il a trouve a 850,000MAD mais pas ensoleille | Famille</t>
  </si>
  <si>
    <t>studio CFC</t>
  </si>
  <si>
    <t>bouhlalabdellah65@gmail.com</t>
  </si>
  <si>
    <t>2M-4M MAD</t>
  </si>
  <si>
    <t>212644000574</t>
  </si>
  <si>
    <t>Zekri</t>
  </si>
  <si>
    <t>Nadia</t>
  </si>
  <si>
    <t>Deja contacter, max 3,3mdh sans travaux/ repond plus après proposition des bien</t>
  </si>
  <si>
    <t>nadia.zekri1981@gmail.com</t>
  </si>
  <si>
    <t>—</t>
  </si>
  <si>
    <t>212684320216</t>
  </si>
  <si>
    <t>Koutoun</t>
  </si>
  <si>
    <t>Ilyass</t>
  </si>
  <si>
    <t>recherche un bien avec un budget 1m 2 max travazil a ain sba. prefere 1er ou 2 eme etage ensoleillé neuf</t>
  </si>
  <si>
    <t>Casa</t>
  </si>
  <si>
    <t>oued-bil@live.fr</t>
  </si>
  <si>
    <t>212661331168</t>
  </si>
  <si>
    <t>Cherkaoui</t>
  </si>
  <si>
    <t>Mehdi</t>
  </si>
  <si>
    <t>Cherche apprt 4ch racine/gauthier budget 3,5</t>
  </si>
  <si>
    <t>cherkaoui.m81@gmail.com</t>
  </si>
  <si>
    <t>1M-2M MAD</t>
  </si>
  <si>
    <t>212661155182</t>
  </si>
  <si>
    <t>Ouardi</t>
  </si>
  <si>
    <t>Hassan</t>
  </si>
  <si>
    <t>appel 02 24 / yassir appel 02 25 / nowfel - californie madarona - 3 chmabre -*160 metre care</t>
  </si>
  <si>
    <t>hassanouardi@gmail.com</t>
  </si>
  <si>
    <t>5k-10k</t>
  </si>
  <si>
    <t>212633648138</t>
  </si>
  <si>
    <t>Zora</t>
  </si>
  <si>
    <t>Deja contacter besoin dun plateau au centre budget max 11k | Taille de l‘équipe : 1-3 personnes | Surface appro : 50 - 100 m2</t>
  </si>
  <si>
    <t>Bureau</t>
  </si>
  <si>
    <t>contactzohra5@gmail.com</t>
  </si>
  <si>
    <t>4M+ MAD</t>
  </si>
  <si>
    <t>212662858016</t>
  </si>
  <si>
    <t>Cohen</t>
  </si>
  <si>
    <t>Victor</t>
  </si>
  <si>
    <t>rdv a 13h | 7k-10k si location</t>
  </si>
  <si>
    <t>Villa</t>
  </si>
  <si>
    <t>cohenvictor@hotmail.fr</t>
  </si>
  <si>
    <t>212661319660</t>
  </si>
  <si>
    <t>El Hassar Aby</t>
  </si>
  <si>
    <t>Simo</t>
  </si>
  <si>
    <t>Studio En vente dernier prix 1,1 meuble 40m2 .. | 7k-10k si location</t>
  </si>
  <si>
    <t>Studio</t>
  </si>
  <si>
    <t>melhassar@gmail.com</t>
  </si>
  <si>
    <t>212644813131</t>
  </si>
  <si>
    <t>Serghini Anbari Hassani</t>
  </si>
  <si>
    <t>Asmae</t>
  </si>
  <si>
    <t>7k-10k si location</t>
  </si>
  <si>
    <t>Appart</t>
  </si>
  <si>
    <t>asmae.serghini.hassani@gmail.com</t>
  </si>
  <si>
    <t>212664138772</t>
  </si>
  <si>
    <t>Nomadsah</t>
  </si>
  <si>
    <t>Appart avendre 3ch roche noir | 7k-10k si location</t>
  </si>
  <si>
    <t>mehdi.swatch@gmail.com</t>
  </si>
  <si>
    <t>7k-10k</t>
  </si>
  <si>
    <t>212600002833</t>
  </si>
  <si>
    <t>-</t>
  </si>
  <si>
    <t>Sofia</t>
  </si>
  <si>
    <t>Studio lhermitage en location</t>
  </si>
  <si>
    <t>sofiatadili3@gmail.com</t>
  </si>
  <si>
    <t>12k</t>
  </si>
  <si>
    <t>212661225622</t>
  </si>
  <si>
    <t>Bertoune</t>
  </si>
  <si>
    <t>Mostafa</t>
  </si>
  <si>
    <t>Appartement 3ch meuble ziraoui sans garage</t>
  </si>
  <si>
    <t>mostafabertoune@hotmail.fr</t>
  </si>
  <si>
    <t>10k-20k</t>
  </si>
  <si>
    <t>212665215221</t>
  </si>
  <si>
    <t>Debbagh</t>
  </si>
  <si>
    <t>Amine</t>
  </si>
  <si>
    <t>open space / surface grande / visite demain 16h | Surface appro : 50 - 100 m2</t>
  </si>
  <si>
    <t>Plateau open space</t>
  </si>
  <si>
    <t>a.debbagh.b@gmail.com</t>
  </si>
  <si>
    <t>212661172418</t>
  </si>
  <si>
    <t>Hamid</t>
  </si>
  <si>
    <t>Studio meublé marina</t>
  </si>
  <si>
    <t>elotmani@lmsorh.com</t>
  </si>
  <si>
    <t>212674346857</t>
  </si>
  <si>
    <t>Robe</t>
  </si>
  <si>
    <t>Sexy chic</t>
  </si>
  <si>
    <t>Appartement 2chambre en location</t>
  </si>
  <si>
    <t>sabrinamoghtit@outlook,com</t>
  </si>
  <si>
    <t>212669953464</t>
  </si>
  <si>
    <t>Slilou</t>
  </si>
  <si>
    <t>Imane</t>
  </si>
  <si>
    <t>Bureau a louer cheikh khalida 8000dh</t>
  </si>
  <si>
    <t>Bureau / local commercial</t>
  </si>
  <si>
    <t>islilou@gmail.com</t>
  </si>
  <si>
    <t>212661105676</t>
  </si>
  <si>
    <t>EL Bidaoui</t>
  </si>
  <si>
    <t>Il a un budget: 12 million / Sur ville verte / villa jumelée (600m2-800m2)</t>
  </si>
  <si>
    <t>villa CGI</t>
  </si>
  <si>
    <t>cuistoquip@gmail.com</t>
  </si>
  <si>
    <t>🟡 Moyenne</t>
  </si>
  <si>
    <t>212661182085</t>
  </si>
  <si>
    <t>Amine Bououlja</t>
  </si>
  <si>
    <t>Appelez mais il na pas repondu, jai envoye whatsapp | 1 personne</t>
  </si>
  <si>
    <t>Philadelphia</t>
  </si>
  <si>
    <t>bououlja19@hotmail.fr</t>
  </si>
  <si>
    <t>212661431451</t>
  </si>
  <si>
    <t>Anas Alami</t>
  </si>
  <si>
    <t>Appelez, il a repondu, il veut un investissement locatif CFC et les alentours de 900,000 a 1,100,000 | Repond pas | 1 personne | 7k-10k si location</t>
  </si>
  <si>
    <t>Lalamianas@yahoo.fr</t>
  </si>
  <si>
    <t>212661254575</t>
  </si>
  <si>
    <t>Abderrahim Benabdelkrim</t>
  </si>
  <si>
    <t>Il recherche pour sa fille, location pour dans 2 mois, budget max 7000MAD meuble, californie, il na pas grande idee de casa car il nest pas dici, a faire un suivi conseil | Couple</t>
  </si>
  <si>
    <t>meknes</t>
  </si>
  <si>
    <t>benabdelkrimabderrahim@gmail.com</t>
  </si>
  <si>
    <t>212664926869</t>
  </si>
  <si>
    <t>Bennani</t>
  </si>
  <si>
    <t>Mohamed</t>
  </si>
  <si>
    <t>Achat appartement 2,7mdh sur racine, les hopitaux, palmier</t>
  </si>
  <si>
    <t>bennani.mohamed92@gmail.com</t>
  </si>
  <si>
    <t>212658617908</t>
  </si>
  <si>
    <t>Ouajid</t>
  </si>
  <si>
    <t>Salah-eddine</t>
  </si>
  <si>
    <t>centre n.owfel appel : recherche immediate platea 75-90m backo /qods /*caliofornie francxe ville abdelmoumen ghandi aqin sbai casa mohjamedia | Taille de l‘équipe : 3-10 personnes</t>
  </si>
  <si>
    <t>salahe-1999@hotmail.com</t>
  </si>
  <si>
    <t>212661298829</t>
  </si>
  <si>
    <t>Benmassaoud</t>
  </si>
  <si>
    <t>Samira</t>
  </si>
  <si>
    <t>samira6107@gmail.com</t>
  </si>
  <si>
    <t>212661430583</t>
  </si>
  <si>
    <t>Bendahmane</t>
  </si>
  <si>
    <t>Hicham</t>
  </si>
  <si>
    <t>Basma</t>
  </si>
  <si>
    <t>nowfel 25 02 sympatique gas periode transitoire pour le 1er mai habite dans un 160 / orefere ferme bretone cil ain diab 13.03 - Basma no answer</t>
  </si>
  <si>
    <t>hbendahmane@hotmail.com</t>
  </si>
  <si>
    <t>❌ Perdu</t>
  </si>
  <si>
    <t>212661368639</t>
  </si>
  <si>
    <t>Dieguez</t>
  </si>
  <si>
    <t>Angel</t>
  </si>
  <si>
    <t>Villa en location vide, 3ch 3sdb, aindiab- 1 mcdo darbouaza idealm piscine et jardin 25 max</t>
  </si>
  <si>
    <t>angel.dieguez@kws.com</t>
  </si>
  <si>
    <t>212661322610</t>
  </si>
  <si>
    <t>Essarhir</t>
  </si>
  <si>
    <t>Karim</t>
  </si>
  <si>
    <t>10k-20k si location</t>
  </si>
  <si>
    <t>k.essarhir@hotmail.com</t>
  </si>
  <si>
    <t>-1M MAD (achat)</t>
  </si>
  <si>
    <t>212664941993</t>
  </si>
  <si>
    <t>Nassiri</t>
  </si>
  <si>
    <t>Manal</t>
  </si>
  <si>
    <t>Achat studio marrakech(semlalia, gueliz)/casa last option | 7k-10k si location</t>
  </si>
  <si>
    <t>nassirimanal@gmail.com</t>
  </si>
  <si>
    <t>🟢 Faible</t>
  </si>
  <si>
    <t>212621161018</t>
  </si>
  <si>
    <t>Houda Nesbane</t>
  </si>
  <si>
    <t>Famille</t>
  </si>
  <si>
    <t>appart hjajma</t>
  </si>
  <si>
    <t>inefc.houda@gmail.com</t>
  </si>
  <si>
    <t>212663527171</t>
  </si>
  <si>
    <t>Benhayoun</t>
  </si>
  <si>
    <t>Fawzi</t>
  </si>
  <si>
    <t>Une proposition d'appartement, il demande dautre proposition</t>
  </si>
  <si>
    <t>parfumdange7@gmail.com</t>
  </si>
  <si>
    <t>212621477755</t>
  </si>
  <si>
    <t>Chmite</t>
  </si>
  <si>
    <t>Mohammed</t>
  </si>
  <si>
    <t>Dici juin</t>
  </si>
  <si>
    <t>mohammedchmitee@gmail.com</t>
  </si>
  <si>
    <t>212661643464</t>
  </si>
  <si>
    <t>Azzal El Bouaffi</t>
  </si>
  <si>
    <t>Khadija</t>
  </si>
  <si>
    <t>Sur Mansouria/mohamed | PAS INTERESSANT</t>
  </si>
  <si>
    <t>bouaffikhadija@gmail.com</t>
  </si>
  <si>
    <t>212660745530</t>
  </si>
  <si>
    <t>Fatmi Dieguez</t>
  </si>
  <si>
    <t>Mouna</t>
  </si>
  <si>
    <t>Location de villa entre aindiab extension et premier macdo darbouaza budget max 20k</t>
  </si>
  <si>
    <t>direction@caddyvoyages.ma</t>
  </si>
  <si>
    <t>212661495155</t>
  </si>
  <si>
    <t>Krafess</t>
  </si>
  <si>
    <t>Ismail</t>
  </si>
  <si>
    <t>Oumaima</t>
  </si>
  <si>
    <t>DM insta (intéressé par le studio de sefrioui)</t>
  </si>
  <si>
    <t>Studio Sefrioui</t>
  </si>
  <si>
    <t>212661250620</t>
  </si>
  <si>
    <t>Walid</t>
  </si>
  <si>
    <t>Domiciliation(erreur) | Taille de l‘équipe : 1-3 personnes</t>
  </si>
  <si>
    <t>Bureau pour siège social</t>
  </si>
  <si>
    <t>walid@icloud.ma</t>
  </si>
  <si>
    <t>212661414132</t>
  </si>
  <si>
    <t>Zemmouri</t>
  </si>
  <si>
    <t>Abdessamad</t>
  </si>
  <si>
    <t>Couple | Deja pris ailleurs</t>
  </si>
  <si>
    <t>Studio Marina Casa</t>
  </si>
  <si>
    <t>abzemmouri@yahoo.fr</t>
  </si>
  <si>
    <t>SL-001</t>
  </si>
  <si>
    <t>📋 À traiter</t>
  </si>
  <si>
    <t>212622737793</t>
  </si>
  <si>
    <t>Najiba Bouftila</t>
  </si>
  <si>
    <t>Elle vient de se casser le bras</t>
  </si>
  <si>
    <t>studio 2 mars</t>
  </si>
  <si>
    <t>najibabouftila@yahoo.fr</t>
  </si>
  <si>
    <t>212679003299</t>
  </si>
  <si>
    <t>📝</t>
  </si>
  <si>
    <t>Triplex ain diab</t>
  </si>
  <si>
    <t>hilmimohamed91@gmail.com</t>
  </si>
  <si>
    <t>212661169383</t>
  </si>
  <si>
    <t xml:space="preserve">Janati </t>
  </si>
  <si>
    <t>Sana</t>
  </si>
  <si>
    <t xml:space="preserve">Recherche 10-12M, Anfa Sup, Immediatiement, Ain Diab aussi, </t>
  </si>
  <si>
    <t>Villa ain diab</t>
  </si>
  <si>
    <t>drjanati@hotmail.com</t>
  </si>
  <si>
    <t>212660118411</t>
  </si>
  <si>
    <t>Tazi</t>
  </si>
  <si>
    <t>Abdelilah</t>
  </si>
  <si>
    <t xml:space="preserve"> terrain 1000m2, villa 1000m2, environs best there is, californie longchamps, no bouskoura, demolir aussi, calif moins que 13MD a demolire . budget dispo et pas de soucis. 12MD a demolir. CIL aussi no ain diab; et pour fils petite villa 400/500 ain diab; 6/7MD</t>
  </si>
  <si>
    <t>tazi@intercomer.ma</t>
  </si>
  <si>
    <t>212662626210</t>
  </si>
  <si>
    <t>M</t>
  </si>
  <si>
    <t>118</t>
  </si>
  <si>
    <t>mr_ahmid@hotmail.fr</t>
  </si>
  <si>
    <t>12M+ MAD</t>
  </si>
  <si>
    <t>212661410471</t>
  </si>
  <si>
    <t>Oudrhiri</t>
  </si>
  <si>
    <t>Je lui ai parle il est super interesse. Budget de $17,18M | Est tres serieux, voudrait acheter prochainement, je dois organiser la visite pour jeudi 17h.</t>
  </si>
  <si>
    <t>Paris</t>
  </si>
  <si>
    <t>oudrhirisimo24@hotmail.com</t>
  </si>
  <si>
    <t>212661404158</t>
  </si>
  <si>
    <t>Achraf Elyahyaoui</t>
  </si>
  <si>
    <t>Elyahyaouihamidachraf@gmail.com</t>
  </si>
  <si>
    <t>212661272829</t>
  </si>
  <si>
    <t>Najia Mansour</t>
  </si>
  <si>
    <t>mn4820@hotmail.com</t>
  </si>
  <si>
    <t>212661234050</t>
  </si>
  <si>
    <t>Bachir Nafili</t>
  </si>
  <si>
    <t>Pas interesse a payer de commissions, agence le refroidis | Famille</t>
  </si>
  <si>
    <t>En cours d'étude</t>
  </si>
  <si>
    <t>Rabat</t>
  </si>
  <si>
    <t>penthouse ferme bretonne</t>
  </si>
  <si>
    <t>b.nafili@hotmail.fr</t>
  </si>
  <si>
    <t>212713480256</t>
  </si>
  <si>
    <t>Maaz Mahamat Abdramane</t>
  </si>
  <si>
    <t>Plus interesse</t>
  </si>
  <si>
    <t>Rabat agdal</t>
  </si>
  <si>
    <t>studio ferme brettone 2</t>
  </si>
  <si>
    <t>Maazmht20@gmail.com</t>
  </si>
  <si>
    <t>212667947827</t>
  </si>
  <si>
    <t>El Azhari</t>
  </si>
  <si>
    <t>Azhariismail3@jmail.com</t>
  </si>
  <si>
    <t>212661531297</t>
  </si>
  <si>
    <t>Naaim</t>
  </si>
  <si>
    <t>Hakim</t>
  </si>
  <si>
    <t>Je lui ai parle visite prevu demain a 14h. Si Hakim est interesse mais il veut visiter dabord, je lui envoie toutes les informations par whatsapp</t>
  </si>
  <si>
    <t>Twinascenseur@gmail.com</t>
  </si>
  <si>
    <t>212661219107</t>
  </si>
  <si>
    <t>Belachgar</t>
  </si>
  <si>
    <t>Fouzia</t>
  </si>
  <si>
    <t xml:space="preserve">Ne reponds pas Elle ma bloque, elle ne veut pas dintermediaire | Na pas repondu pour linstant, whatsapp elle a repondu, elle etait interesse mais ne veut pas dintermediaire, il va falloir organiser une autre strategie pour ne pas paraitre agence et faire visiter, elle a dis que 1,2M cest hors budget pour elle </t>
  </si>
  <si>
    <t>belachgar.fouzia@gmail.com</t>
  </si>
  <si>
    <t>15MD</t>
  </si>
  <si>
    <t>212661316205</t>
  </si>
  <si>
    <t>Lahlou</t>
  </si>
  <si>
    <t>Youssef</t>
  </si>
  <si>
    <t>Villa Calif a cote de Amoud - sans sous sol 1000 m2 ch rdc + ascenseur, pas de residence</t>
  </si>
  <si>
    <t>casablaca</t>
  </si>
  <si>
    <t>youssef.lahlou.69@gmail.com</t>
  </si>
  <si>
    <t>212669324490</t>
  </si>
  <si>
    <t>Ali</t>
  </si>
  <si>
    <t>Cherche 15MD Bouskoura CGI uniquement</t>
  </si>
  <si>
    <t>Villa CGI</t>
  </si>
  <si>
    <t>ali_jetlee@hotmail.com</t>
  </si>
  <si>
    <t>212664750492</t>
  </si>
  <si>
    <t>Mani</t>
  </si>
  <si>
    <t>Soumia</t>
  </si>
  <si>
    <t>Jai essaye dappeler elle ne reponds pas, jai envoye message whatsapp Follow up a faire | Reponds pas jai essaye de la rappeler, elle ma repondu finalement, elle ne veut pas setendre sur son budget mais elle paie cash. Elle veut du conseil et des propositions dappartements sur 2 Mars.. Elle ne connait pas bien casa et elle peut commencer les visites ce weekend</t>
  </si>
  <si>
    <t>Mohammedia</t>
  </si>
  <si>
    <t>p.soumiamani@gmail.com</t>
  </si>
  <si>
    <t>212707888334</t>
  </si>
  <si>
    <t>Ayoub Lagouiza</t>
  </si>
  <si>
    <t>Agadir</t>
  </si>
  <si>
    <t>ayoub.lagouiza12@gmail.com</t>
  </si>
  <si>
    <t>600k</t>
  </si>
  <si>
    <t>212662357851</t>
  </si>
  <si>
    <t>Alami</t>
  </si>
  <si>
    <t>Chama</t>
  </si>
  <si>
    <t>Elle est a Marrakech, elle recherche quelque chose dans les 13,000MAD/m2, studio, assez difficile</t>
  </si>
  <si>
    <t>Marrakesh</t>
  </si>
  <si>
    <t>mabchour1954aicha@gmail.com</t>
  </si>
  <si>
    <t>212604797433</t>
  </si>
  <si>
    <t>Zahra Zahra</t>
  </si>
  <si>
    <t>زهرة</t>
  </si>
  <si>
    <t>studio ferme bretonne</t>
  </si>
  <si>
    <t>Zahrarajraji65@gmail.com</t>
  </si>
  <si>
    <t>212629158858</t>
  </si>
  <si>
    <t>Souhail Jbr II</t>
  </si>
  <si>
    <t>2250748812460</t>
  </si>
  <si>
    <t>Kira Baaly</t>
  </si>
  <si>
    <t>fekira001@gmail.com</t>
  </si>
  <si>
    <t>212661399009</t>
  </si>
  <si>
    <t>Ismail Lamrani</t>
  </si>
  <si>
    <t>Crédit bancaire</t>
  </si>
  <si>
    <t>triplex ain diab</t>
  </si>
  <si>
    <t>lamranismail@hotmail.fr</t>
  </si>
  <si>
    <t>212607851751</t>
  </si>
  <si>
    <t>Laamime</t>
  </si>
  <si>
    <t>Ghizlane</t>
  </si>
  <si>
    <t>Elle me rappellera dans 10mn, je vais envoyer whatsapp en attendant, envoyer toutes les info, elle ma rappelle CSP - cherche entre 70 et 90M max. Roches Noires, Belvedere, Emile Zola, 3eme ou 4eme etage, ne peut pas depasser 90M, financement credit bancaire. Recherche immediatement</t>
  </si>
  <si>
    <t>Casablanca bv med V</t>
  </si>
  <si>
    <t>ghizlanelamime@gmail.com</t>
  </si>
  <si>
    <t>212607814815</t>
  </si>
  <si>
    <t>Ben hanane</t>
  </si>
  <si>
    <t>Benhanane@gmail.com</t>
  </si>
  <si>
    <t>212603868666</t>
  </si>
  <si>
    <t>imane El</t>
  </si>
  <si>
    <t>juste_vip@hotmail.fr</t>
  </si>
  <si>
    <t>212661315264</t>
  </si>
  <si>
    <t>Hassan Ellorhaoui</t>
  </si>
  <si>
    <t>Myhassanello@gmaol.com</t>
  </si>
  <si>
    <t>212631166023</t>
  </si>
  <si>
    <t>Sahar Boutaleb El Idrissi</t>
  </si>
  <si>
    <t>saharboutalebelidrissi@gmail.com</t>
  </si>
  <si>
    <t>212661686899</t>
  </si>
  <si>
    <t>Badia F.EL</t>
  </si>
  <si>
    <t>Location &amp; Achat, location veut pas depasser 6000, achat entre 80 et 100, elle et son fils, bourgogne ziraoui | Couple</t>
  </si>
  <si>
    <t>frataelidrissibadia@gmail.com</t>
  </si>
  <si>
    <t>212648104009</t>
  </si>
  <si>
    <t>Amina Sijlamassi</t>
  </si>
  <si>
    <t>appart route dazmmoure</t>
  </si>
  <si>
    <t>aminasijlamassi@gmail.com</t>
  </si>
  <si>
    <t>212629481009</t>
  </si>
  <si>
    <t>Issam El Hantati</t>
  </si>
  <si>
    <t>Issam.elhantati@ensem.ac.ma</t>
  </si>
  <si>
    <t>212661338317</t>
  </si>
  <si>
    <t>Mehdi Moulazim</t>
  </si>
  <si>
    <t>appartement route dazmmoure</t>
  </si>
  <si>
    <t>anbuolis@live.fr</t>
  </si>
  <si>
    <t>212660120305</t>
  </si>
  <si>
    <t>Morad Yassine</t>
  </si>
  <si>
    <t>Jai appele 1 fois, pas de reponse. Whatsapp texte.</t>
  </si>
  <si>
    <t>Marrakech</t>
  </si>
  <si>
    <t>yassine.morad@gmail.com</t>
  </si>
  <si>
    <t>212660125394</t>
  </si>
  <si>
    <t>Othmane Rais</t>
  </si>
  <si>
    <t>othm.rais@gmail.com</t>
  </si>
  <si>
    <t>212662764844</t>
  </si>
  <si>
    <t>Youssra Yossra</t>
  </si>
  <si>
    <t>1995yossra@gmail.com</t>
  </si>
  <si>
    <t>212671829988</t>
  </si>
  <si>
    <t>hasna filali</t>
  </si>
  <si>
    <t>hasna.filali@hotmail.com</t>
  </si>
  <si>
    <t>212666964004</t>
  </si>
  <si>
    <t>Amina Cherkaoui</t>
  </si>
  <si>
    <t>emycherkaoui@gmail.com</t>
  </si>
  <si>
    <t>212661824673</t>
  </si>
  <si>
    <t>Alaoui Oussama</t>
  </si>
  <si>
    <t>agadir</t>
  </si>
  <si>
    <t>oussalaoui89@gmail.com</t>
  </si>
  <si>
    <t>212664467739</t>
  </si>
  <si>
    <t>Benkirane</t>
  </si>
  <si>
    <t>Hatim</t>
  </si>
  <si>
    <t>top gars, on a bien connect ensemble, budget 1M max sans frais de notaires, recherche tout de suite, on pourra commencer les visites avec lui aussi a partir de la semainne prochaine | Couple</t>
  </si>
  <si>
    <t>hatim.benkirane@hotmail.fr</t>
  </si>
  <si>
    <t>212679829212</t>
  </si>
  <si>
    <t>Mly Youssef Lemrini</t>
  </si>
  <si>
    <t>pas de reponse pour linstant, message whatsapp | Couple</t>
  </si>
  <si>
    <t>mylemrini@gmail.com</t>
  </si>
  <si>
    <t>212652400593</t>
  </si>
  <si>
    <t>Ghafour Nafid</t>
  </si>
  <si>
    <t>appartement marina casablanca</t>
  </si>
  <si>
    <t>ghafournafid@gmail.com</t>
  </si>
  <si>
    <t>212615334613</t>
  </si>
  <si>
    <t>Ab Dēl</t>
  </si>
  <si>
    <t>Tétouan</t>
  </si>
  <si>
    <t>labdel776@gmail.com</t>
  </si>
  <si>
    <t>212665840700</t>
  </si>
  <si>
    <t>Luiz Vieira</t>
  </si>
  <si>
    <t>Ponta Delgada</t>
  </si>
  <si>
    <t>luizarruda518@gmail.com</t>
  </si>
  <si>
    <t>212660137370</t>
  </si>
  <si>
    <t>Hamza MC</t>
  </si>
  <si>
    <t>maachou.hamza@gmail.com</t>
  </si>
  <si>
    <t>212666109706</t>
  </si>
  <si>
    <t>Weld Lamim ضبوع محمد</t>
  </si>
  <si>
    <t>العيون سيدي ملوك</t>
  </si>
  <si>
    <t>appartement racine extention</t>
  </si>
  <si>
    <t>moha123.waled@gmail.com</t>
  </si>
  <si>
    <t>212608642291</t>
  </si>
  <si>
    <t>Rays Mustafa</t>
  </si>
  <si>
    <t>Beni Mellal</t>
  </si>
  <si>
    <t>jamaawimustapha@gmail.com</t>
  </si>
  <si>
    <t>212707751408</t>
  </si>
  <si>
    <t>said ayt tifast</t>
  </si>
  <si>
    <t>Taroudant</t>
  </si>
  <si>
    <t>saidoutayfst@gmail.com</t>
  </si>
  <si>
    <t>212678582736</t>
  </si>
  <si>
    <t>Mohamed Rjila</t>
  </si>
  <si>
    <t>سيدي بنور</t>
  </si>
  <si>
    <t>mhdw89990@gmail.com</t>
  </si>
  <si>
    <t>212676322772</t>
  </si>
  <si>
    <t>Ĺ'mřyûoł Oussamà</t>
  </si>
  <si>
    <t>oussamabuihate@gmail.com</t>
  </si>
  <si>
    <t>212615551694</t>
  </si>
  <si>
    <t>Amain Fn</t>
  </si>
  <si>
    <t>El Jadida</t>
  </si>
  <si>
    <t>atoriniama9@gmail.com</t>
  </si>
  <si>
    <t>212648917536</t>
  </si>
  <si>
    <t>حسن</t>
  </si>
  <si>
    <t>Meknes</t>
  </si>
  <si>
    <t>hosinetazart@gmail.com</t>
  </si>
  <si>
    <t>212600864131</t>
  </si>
  <si>
    <t>Mus Ta Pha</t>
  </si>
  <si>
    <t>Mustaphabelahmaid@gmail.com</t>
  </si>
  <si>
    <t>212657503559</t>
  </si>
  <si>
    <t>Ihssãne Bãdãr</t>
  </si>
  <si>
    <t>jamilabadar310@gmail.com</t>
  </si>
  <si>
    <t>212661480858</t>
  </si>
  <si>
    <t>Nouri Arib</t>
  </si>
  <si>
    <t>arib0661480858@ail.com</t>
  </si>
  <si>
    <t>212632165255</t>
  </si>
  <si>
    <t>Ndeye Isseu Sene</t>
  </si>
  <si>
    <t>Martil</t>
  </si>
  <si>
    <t>Isseunis@gmail.com</t>
  </si>
  <si>
    <t>212668807025</t>
  </si>
  <si>
    <t>عبدالسلم ازروال</t>
  </si>
  <si>
    <t>0668807025</t>
  </si>
  <si>
    <t>zrawalabdslam@gmail.com</t>
  </si>
  <si>
    <t>212661875777</t>
  </si>
  <si>
    <t>Nabih Nabih</t>
  </si>
  <si>
    <t>nabih.abdo-abdo@hotmail.com</t>
  </si>
  <si>
    <t>212652326554</t>
  </si>
  <si>
    <t>Soufiane Matar</t>
  </si>
  <si>
    <t>soufian.mitre@gmail.com</t>
  </si>
  <si>
    <t>212601678015</t>
  </si>
  <si>
    <t>Reda Kadda</t>
  </si>
  <si>
    <t>reda.kadda2020@gmail.com</t>
  </si>
  <si>
    <t>212617994369</t>
  </si>
  <si>
    <t>Hamza El Azzouzi</t>
  </si>
  <si>
    <t>béni mellal</t>
  </si>
  <si>
    <t>hamzaazzouzi867@gmail.com</t>
  </si>
  <si>
    <t>212637709759</t>
  </si>
  <si>
    <t>Kaoutar El Kadi</t>
  </si>
  <si>
    <t>casablanca</t>
  </si>
  <si>
    <t>kaoutarito1991@gmail.com</t>
  </si>
  <si>
    <t>212649176151</t>
  </si>
  <si>
    <t>Asmaa Asmaa</t>
  </si>
  <si>
    <t>212651798886</t>
  </si>
  <si>
    <t>dakir tahiri</t>
  </si>
  <si>
    <t>fes</t>
  </si>
  <si>
    <t>dakirtahiritahiri@gmail.com</t>
  </si>
  <si>
    <t>212661931549</t>
  </si>
  <si>
    <t>Reda Rougui</t>
  </si>
  <si>
    <t>Safi</t>
  </si>
  <si>
    <t>arr.rougui@gmail.com</t>
  </si>
  <si>
    <t>212645523245</t>
  </si>
  <si>
    <t>Hamza jemmane</t>
  </si>
  <si>
    <t>hamza.safaa.hs@gmail.com</t>
  </si>
  <si>
    <t>212607034149</t>
  </si>
  <si>
    <t>Jowel Jowel</t>
  </si>
  <si>
    <t>4eme</t>
  </si>
  <si>
    <t>212679702554</t>
  </si>
  <si>
    <t>Oualla imad</t>
  </si>
  <si>
    <t>Ouallaaimad@gmail.com</t>
  </si>
  <si>
    <t>212664898154</t>
  </si>
  <si>
    <t>Adil Amazonia</t>
  </si>
  <si>
    <t>casa</t>
  </si>
  <si>
    <t>adil.lahmini2@gmail.com</t>
  </si>
  <si>
    <t>212665446028</t>
  </si>
  <si>
    <t>Aymane Tbaik</t>
  </si>
  <si>
    <t>aymanetbaik69@gmail.com</t>
  </si>
  <si>
    <t>212602917712</t>
  </si>
  <si>
    <t>ﮩ'ٰۗٛۧۙﮩ'ٰۗٛۧۙﮩ أريہجﮩ'ٰۗٛۧۙﮩ'ٰۗٛۧۙﮩ</t>
  </si>
  <si>
    <t>Tangier</t>
  </si>
  <si>
    <t>nadiaacharoui6@gmail.com</t>
  </si>
  <si>
    <t>212618074504</t>
  </si>
  <si>
    <t>Ãbdelöüähed</t>
  </si>
  <si>
    <t>ihouliynabdlwahd@gmail.com</t>
  </si>
  <si>
    <t>212654826969</t>
  </si>
  <si>
    <t>Ayoub Harrouch</t>
  </si>
  <si>
    <t>Nador</t>
  </si>
  <si>
    <t>212645523919</t>
  </si>
  <si>
    <t>Younes Aboulfadl</t>
  </si>
  <si>
    <t>Younesaboulfadl30@gmail.com</t>
  </si>
  <si>
    <t>212673371391</t>
  </si>
  <si>
    <t>Fatimazahraa Alhachmi</t>
  </si>
  <si>
    <t>Tetouan</t>
  </si>
  <si>
    <t>fatima10zahra1994@gmail.com</t>
  </si>
  <si>
    <t>212615503398</t>
  </si>
  <si>
    <t>Chė Rif</t>
  </si>
  <si>
    <t>Er Rachidia</t>
  </si>
  <si>
    <t>medcherif1311@gmail.com</t>
  </si>
  <si>
    <t>212637254945</t>
  </si>
  <si>
    <t>Anass Tantani</t>
  </si>
  <si>
    <t>Kenitra</t>
  </si>
  <si>
    <t>anass_tantani@hotmail.com</t>
  </si>
  <si>
    <t>212614346447</t>
  </si>
  <si>
    <t>Jihvne Nzz</t>
  </si>
  <si>
    <t>212663165710</t>
  </si>
  <si>
    <t>Hamza Merizk</t>
  </si>
  <si>
    <t>medamin192@gmail.com</t>
  </si>
  <si>
    <t>212607986865</t>
  </si>
  <si>
    <t>Said Dahani</t>
  </si>
  <si>
    <t>ccc</t>
  </si>
  <si>
    <t>said.dahani@gmail.com</t>
  </si>
  <si>
    <t>212629483306</t>
  </si>
  <si>
    <t>Younes EL Bacha</t>
  </si>
  <si>
    <t>younes.eloualji@gmail.com</t>
  </si>
  <si>
    <t>212640388175</t>
  </si>
  <si>
    <t>Mohamed Hiouas</t>
  </si>
  <si>
    <t>mohmed.hiouas@gmail.com</t>
  </si>
  <si>
    <t>212661926778</t>
  </si>
  <si>
    <t>Assoulaimani</t>
  </si>
  <si>
    <t>Said</t>
  </si>
  <si>
    <t>Contacter whatsapp, il a repondu, il faut encore concretiser les biens,</t>
  </si>
  <si>
    <t>saidbtpp@gmail.com</t>
  </si>
  <si>
    <t>212661904973</t>
  </si>
  <si>
    <t>Ornano Jean Paul</t>
  </si>
  <si>
    <t>jeanpaul.ornano@gmail.com</t>
  </si>
  <si>
    <t>212680439916</t>
  </si>
  <si>
    <t>Jamal Abdenacer Touimi Benjelloun</t>
  </si>
  <si>
    <t>jamal.abdennacer.touimi@gmail.com</t>
  </si>
  <si>
    <t>212649488230</t>
  </si>
  <si>
    <t>Oum Wassim</t>
  </si>
  <si>
    <t>RAZZAKIOUM@gmail.com</t>
  </si>
  <si>
    <t>212661900091</t>
  </si>
  <si>
    <t>Lebbadi</t>
  </si>
  <si>
    <t xml:space="preserve">Abdellatif </t>
  </si>
  <si>
    <t>Recherche sur Rabat, plusieurs villes, il est speculateur, rentier de Rabat, il cherche des choses interessantes et quon le convaint, il veut un 2 3 chambres sur Rabat sinon il pourrait etre tente par Casa</t>
  </si>
  <si>
    <t>lebbadiabdellatif@outlook.fr</t>
  </si>
  <si>
    <t>212664900064</t>
  </si>
  <si>
    <t>Jabir</t>
  </si>
  <si>
    <t>jabir_bendaoud@yahoo.fr</t>
  </si>
  <si>
    <t>212661141164</t>
  </si>
  <si>
    <t>Latif Lahlou</t>
  </si>
  <si>
    <t>Latif.lahlou@icloud.com</t>
  </si>
  <si>
    <t>212611014328</t>
  </si>
  <si>
    <t>Boudelal</t>
  </si>
  <si>
    <t>Loubna</t>
  </si>
  <si>
    <t>Faut la rappeler demain. elle a un vol elle est pressée.. interessée samedi</t>
  </si>
  <si>
    <t>avecloubna@hotmail.fr</t>
  </si>
  <si>
    <t>212680799280</t>
  </si>
  <si>
    <t>El Alaoui</t>
  </si>
  <si>
    <t>Zineb</t>
  </si>
  <si>
    <t>Je lui ai parle, hors budget. Elle ne veut pas depasser 7M . Il faut lui trouver quelque chose a 7M</t>
  </si>
  <si>
    <t>villa ain diab</t>
  </si>
  <si>
    <t>zineb.elalaoui@pierre-fabre.com</t>
  </si>
  <si>
    <t>212635059660</t>
  </si>
  <si>
    <t>Budget max 850,000MAD a part si elle a un coup de coeur. | Elle a repondu au telephone mais elle veut voir les infos dabord, jen ai parle avec Oumaima pour essayer de ne pas travailler pour rien je vais lui envoyer la localisation, jai tout envoye, budget trop cher, elle recherche studio avec un buget maximum de 850,000MAD, pas de preference pour le quartier a part Ain Sebaa</t>
  </si>
  <si>
    <t>Imanesdouqi1997@gmail.com</t>
  </si>
  <si>
    <t>212661566323</t>
  </si>
  <si>
    <t>Jabri</t>
  </si>
  <si>
    <t>Ahmed</t>
  </si>
  <si>
    <t>Reponds pas, whatsapp.</t>
  </si>
  <si>
    <t>ahmedjabri@hotmail.com</t>
  </si>
  <si>
    <t>212661575727</t>
  </si>
  <si>
    <t>Nihal Abassi Chaoui</t>
  </si>
  <si>
    <t>abassinihal@hotmail.fr</t>
  </si>
  <si>
    <t>212661588121</t>
  </si>
  <si>
    <t>CH Saad</t>
  </si>
  <si>
    <t>saad.choukri@gmail.com</t>
  </si>
  <si>
    <t>212611868794</t>
  </si>
  <si>
    <t>Ahlam Bougroug</t>
  </si>
  <si>
    <t>ahlam.bougroug@gmail.com</t>
  </si>
  <si>
    <t>212668710821</t>
  </si>
  <si>
    <t xml:space="preserve">Alia </t>
  </si>
  <si>
    <t>alia_bennani@hotmail.com</t>
  </si>
  <si>
    <t>212665221528</t>
  </si>
  <si>
    <t>Lahbabi</t>
  </si>
  <si>
    <t xml:space="preserve">Mamoun </t>
  </si>
  <si>
    <t>lahbabimamoun6@gmail.com</t>
  </si>
  <si>
    <t>212662050099</t>
  </si>
  <si>
    <t>Hind Kadiri</t>
  </si>
  <si>
    <t>Budget 20,000MAD location - elle a 3 enfants donc elle recherche un 3 chambre minimum 4 chambres idealement | Famille</t>
  </si>
  <si>
    <t>hindkhalid7680@gmail.com</t>
  </si>
  <si>
    <t>212617840576</t>
  </si>
  <si>
    <t>Malak Aatil</t>
  </si>
  <si>
    <t>ecolematignon@gmail.com</t>
  </si>
  <si>
    <t>212600002511</t>
  </si>
  <si>
    <t>Douissi</t>
  </si>
  <si>
    <t>Zaid</t>
  </si>
  <si>
    <t>zaid.douiissi@gmail.com</t>
  </si>
  <si>
    <t>212610623888</t>
  </si>
  <si>
    <t>Driss Horma</t>
  </si>
  <si>
    <t>my-driss-sefrioui@hotmail.com</t>
  </si>
  <si>
    <t>212662411939</t>
  </si>
  <si>
    <t>Idrissi</t>
  </si>
  <si>
    <t>Siham</t>
  </si>
  <si>
    <t>Mohammédia</t>
  </si>
  <si>
    <t>naenaisiham7@gmail.com</t>
  </si>
  <si>
    <t>212641988238</t>
  </si>
  <si>
    <t>Youssef Khiate</t>
  </si>
  <si>
    <t>Budget 800K mais extensible. Il veut voir et on ajuste de la. Visite programme Samedi 10h pour 2 Mars | Je lui ai parle, il faut whatsapp maintenant, interesse pour visite samedi 10h confirme</t>
  </si>
  <si>
    <t>yousseftaylorkhiate@gmail.com</t>
  </si>
  <si>
    <t>212693615731</t>
  </si>
  <si>
    <t>Noureddine Chikare</t>
  </si>
  <si>
    <t>Oujda</t>
  </si>
  <si>
    <t>chikarenoureddine@gmail.com</t>
  </si>
  <si>
    <t>212772652749</t>
  </si>
  <si>
    <t>Amînë Laaziri</t>
  </si>
  <si>
    <t>212668077685</t>
  </si>
  <si>
    <t>Chadia Chadia</t>
  </si>
  <si>
    <t>Chadyajannat11@gmail.com</t>
  </si>
  <si>
    <t>212650725206</t>
  </si>
  <si>
    <t>Abdelhamid Moukafih</t>
  </si>
  <si>
    <t>abdlhamidmoukafih@gmail.com</t>
  </si>
  <si>
    <t>212619234926</t>
  </si>
  <si>
    <t>Fatimezzahra aboussellam</t>
  </si>
  <si>
    <t>kayssbennani13@gmail.com</t>
  </si>
  <si>
    <t>212774180372</t>
  </si>
  <si>
    <t>Samnati Said Mhoma</t>
  </si>
  <si>
    <t>samnatisaid@gmail.com</t>
  </si>
  <si>
    <t>212648381727</t>
  </si>
  <si>
    <t>Simo Bennani</t>
  </si>
  <si>
    <t>brnnanim@gmail.com</t>
  </si>
  <si>
    <t>212661549950</t>
  </si>
  <si>
    <t>Soussi</t>
  </si>
  <si>
    <t>Aicha</t>
  </si>
  <si>
    <t>soussi_aicha@hotmail</t>
  </si>
  <si>
    <t>212632401336</t>
  </si>
  <si>
    <t>Neo</t>
  </si>
  <si>
    <t>belbalamine28@gmail.com</t>
  </si>
  <si>
    <t>212661353008</t>
  </si>
  <si>
    <t>El Hitmi</t>
  </si>
  <si>
    <t>Taille de l‘équipe : 3-10 personnes</t>
  </si>
  <si>
    <t>m-hitmi@hotmail.com</t>
  </si>
  <si>
    <t>212661188686</t>
  </si>
  <si>
    <t>Maoun</t>
  </si>
  <si>
    <t>Tahra</t>
  </si>
  <si>
    <t>tahra19@hotmail.fr</t>
  </si>
  <si>
    <t>212661600389</t>
  </si>
  <si>
    <t>Aissa</t>
  </si>
  <si>
    <t>Sophia</t>
  </si>
  <si>
    <t>serghghits@gmail.com</t>
  </si>
  <si>
    <t>212661797160</t>
  </si>
  <si>
    <t>Bouanane</t>
  </si>
  <si>
    <t>Narjisse</t>
  </si>
  <si>
    <t>Erreur numero | -1M MAD si vente</t>
  </si>
  <si>
    <t>bouananenarjisse@hotmail.com</t>
  </si>
  <si>
    <t>212674038039</t>
  </si>
  <si>
    <t>Hsissi</t>
  </si>
  <si>
    <t>Issam</t>
  </si>
  <si>
    <t>aucune reponse | Taille de l‘équipe : 1-3 personnes</t>
  </si>
  <si>
    <t>mondentiste@revivsmile.com</t>
  </si>
  <si>
    <t>212615501847</t>
  </si>
  <si>
    <t>Dona</t>
  </si>
  <si>
    <t>Karen</t>
  </si>
  <si>
    <t>Studio CFC</t>
  </si>
  <si>
    <t>widad_1980@hotmail.com</t>
  </si>
  <si>
    <t>SL-004</t>
  </si>
  <si>
    <t>212661144713</t>
  </si>
  <si>
    <t>Latifa</t>
  </si>
  <si>
    <t>Essayer dappeler elle reponds pas. envoyer whatsapp, attends un retour sinon je dois rappeler | Couple</t>
  </si>
  <si>
    <t>Penthouse Ferme bretonne</t>
  </si>
  <si>
    <t>latlahlou@gmail.com</t>
  </si>
  <si>
    <t>PL-001</t>
  </si>
  <si>
    <t>212661987561</t>
  </si>
  <si>
    <t>Kabbaj</t>
  </si>
  <si>
    <t>Faux Numero</t>
  </si>
  <si>
    <t>ghizlanekcndh@gmail.com</t>
  </si>
  <si>
    <t>212666137003</t>
  </si>
  <si>
    <t>Sefraoui</t>
  </si>
  <si>
    <t>Farouk</t>
  </si>
  <si>
    <t>sefraouifarouk5@gmail.com</t>
  </si>
  <si>
    <t>393208317233</t>
  </si>
  <si>
    <t>Rachid</t>
  </si>
  <si>
    <t>Meme numero que wehome ca repond pas) | Surface approximative : 100 - 300 m2 | Repond pas</t>
  </si>
  <si>
    <t>Bureau individuel</t>
  </si>
  <si>
    <t>boumalikmustapha77@gmail.com</t>
  </si>
  <si>
    <t>212658998561</t>
  </si>
  <si>
    <t>Bouali</t>
  </si>
  <si>
    <t>Amina</t>
  </si>
  <si>
    <t>boualiamina85@gmail.com</t>
  </si>
  <si>
    <t>212663143211</t>
  </si>
  <si>
    <t>Legmas</t>
  </si>
  <si>
    <t>msolegmas@gmail.com</t>
  </si>
  <si>
    <t>212614359988</t>
  </si>
  <si>
    <t>Bouzlef</t>
  </si>
  <si>
    <t>Driss</t>
  </si>
  <si>
    <t>Bureau,local commercial</t>
  </si>
  <si>
    <t>drissbouzlef8@gmail.com</t>
  </si>
  <si>
    <t>212652598276</t>
  </si>
  <si>
    <t>Doukkal</t>
  </si>
  <si>
    <t>hdoukkal@gmail.com</t>
  </si>
  <si>
    <t>-5k</t>
  </si>
  <si>
    <t>212622061959</t>
  </si>
  <si>
    <t>Choukri</t>
  </si>
  <si>
    <t>Soukaina</t>
  </si>
  <si>
    <t>auciune reponse | Taille de l‘équipe : 1-3 personnes</t>
  </si>
  <si>
    <t>schoukri@um6ss.ma</t>
  </si>
  <si>
    <t>212674956600</t>
  </si>
  <si>
    <t>Raouassi</t>
  </si>
  <si>
    <t>khadijaraouassi70@gmail.com</t>
  </si>
  <si>
    <t>212665809360</t>
  </si>
  <si>
    <t>Zaim</t>
  </si>
  <si>
    <t>abdelkouddouszaim@gmail.com</t>
  </si>
  <si>
    <t>212661568694</t>
  </si>
  <si>
    <t>Bennis Mellouk</t>
  </si>
  <si>
    <t>Amal</t>
  </si>
  <si>
    <t>Villa Ain Diab</t>
  </si>
  <si>
    <t>amalbennismel@gmail.com</t>
  </si>
  <si>
    <t>212661931777</t>
  </si>
  <si>
    <t>Fadoua</t>
  </si>
  <si>
    <t>fadouatalbi000@gmail.com</t>
  </si>
  <si>
    <t>212660811211</t>
  </si>
  <si>
    <t>Hallali</t>
  </si>
  <si>
    <t>Adil</t>
  </si>
  <si>
    <t>adil.hallali@gmail.com</t>
  </si>
  <si>
    <t>212661252425</t>
  </si>
  <si>
    <t>Kadmiri</t>
  </si>
  <si>
    <t>Mounia</t>
  </si>
  <si>
    <t>Fes</t>
  </si>
  <si>
    <t>kamoud@hotmail.com</t>
  </si>
  <si>
    <t>212660454493</t>
  </si>
  <si>
    <t>Mha</t>
  </si>
  <si>
    <t>Meryem</t>
  </si>
  <si>
    <t>Mhamedimeriem@gmail.com</t>
  </si>
  <si>
    <t>212604806200</t>
  </si>
  <si>
    <t>Borgaa</t>
  </si>
  <si>
    <t>imane.borgaa@outlook.com</t>
  </si>
  <si>
    <t>212676845502</t>
  </si>
  <si>
    <t>Martiniz</t>
  </si>
  <si>
    <t>Jaiss</t>
  </si>
  <si>
    <t>bouras.01000@icloud.com</t>
  </si>
  <si>
    <t>212619991081</t>
  </si>
  <si>
    <t>Aymen</t>
  </si>
  <si>
    <t>docteuraymen@gmail.com</t>
  </si>
  <si>
    <t>212638440769</t>
  </si>
  <si>
    <t>Mak</t>
  </si>
  <si>
    <t>Marwa</t>
  </si>
  <si>
    <t>Appart racine extension</t>
  </si>
  <si>
    <t>makroummaroua@gmail.com</t>
  </si>
  <si>
    <t>212615136595</t>
  </si>
  <si>
    <t>Riahi</t>
  </si>
  <si>
    <t>Mahmoud</t>
  </si>
  <si>
    <t>mahmoudidrissi1932@gmail.com</t>
  </si>
  <si>
    <t>212674347198</t>
  </si>
  <si>
    <t>Chaarou</t>
  </si>
  <si>
    <t>Tanger</t>
  </si>
  <si>
    <t>mehdi.fiprof@gmail.com</t>
  </si>
  <si>
    <t>212650094668</t>
  </si>
  <si>
    <t>Rachidi</t>
  </si>
  <si>
    <t>Othman</t>
  </si>
  <si>
    <t>errachidyothmane@gmail.com</t>
  </si>
  <si>
    <t>212666719117</t>
  </si>
  <si>
    <t>Fiqhii</t>
  </si>
  <si>
    <t>Omar</t>
  </si>
  <si>
    <t>fiqhiomar@gmail.com</t>
  </si>
  <si>
    <t>212636143290</t>
  </si>
  <si>
    <t>Fl</t>
  </si>
  <si>
    <t>Nouri</t>
  </si>
  <si>
    <t>abdnnour_flihi@live.fr</t>
  </si>
  <si>
    <t>212698963349</t>
  </si>
  <si>
    <t>Imis</t>
  </si>
  <si>
    <t>Abdelfatah</t>
  </si>
  <si>
    <t>imis2000imis@gmail.com</t>
  </si>
  <si>
    <t>212601605481</t>
  </si>
  <si>
    <t>Saad</t>
  </si>
  <si>
    <t>212660154212</t>
  </si>
  <si>
    <t>Zakaria</t>
  </si>
  <si>
    <t>monizakaria527@gmail.com</t>
  </si>
  <si>
    <t>212644480972</t>
  </si>
  <si>
    <t>Soma</t>
  </si>
  <si>
    <t>Asmaa</t>
  </si>
  <si>
    <t>RDJ dar bouazza</t>
  </si>
  <si>
    <t>soma.kota@hotmail.com</t>
  </si>
  <si>
    <t>212657483842</t>
  </si>
  <si>
    <t>Ettoumi</t>
  </si>
  <si>
    <t>Dija</t>
  </si>
  <si>
    <t>walidmouslih12@gmail.com</t>
  </si>
  <si>
    <t>212600575734</t>
  </si>
  <si>
    <t>hatim0493@gmail.com</t>
  </si>
  <si>
    <t>212629580374</t>
  </si>
  <si>
    <t>Mziouk</t>
  </si>
  <si>
    <t>amalmziouk@gmail.com</t>
  </si>
  <si>
    <t>212700140112</t>
  </si>
  <si>
    <t>De Temmerman</t>
  </si>
  <si>
    <t>Gaelle</t>
  </si>
  <si>
    <t>gaelle.4094@gmail.com</t>
  </si>
  <si>
    <t>212602639722</t>
  </si>
  <si>
    <t>Bennazha</t>
  </si>
  <si>
    <t>Hanane</t>
  </si>
  <si>
    <t>ibtissam_-2012@hotmail.fr</t>
  </si>
  <si>
    <t>212661467578</t>
  </si>
  <si>
    <t>Rami</t>
  </si>
  <si>
    <t>Fatima Zahra</t>
  </si>
  <si>
    <t>rami.fatimazahra@isiam.ma</t>
  </si>
  <si>
    <t>212661050693</t>
  </si>
  <si>
    <t>Kassabi</t>
  </si>
  <si>
    <t>Penthouse ferme bretonne</t>
  </si>
  <si>
    <t>L.kassabi03@gmail.com</t>
  </si>
  <si>
    <t>212614848851</t>
  </si>
  <si>
    <t>Agustin</t>
  </si>
  <si>
    <t>Junelyn</t>
  </si>
  <si>
    <t>Marrakech village</t>
  </si>
  <si>
    <t>agustinjune5@gmail.com</t>
  </si>
  <si>
    <t>221707011732</t>
  </si>
  <si>
    <t>Ndeye Mbarka</t>
  </si>
  <si>
    <t>Sanghare Samb</t>
  </si>
  <si>
    <t>mamitasamb293@gmail.com</t>
  </si>
  <si>
    <t>212620572662</t>
  </si>
  <si>
    <t>Bkr</t>
  </si>
  <si>
    <t>Ayman</t>
  </si>
  <si>
    <t>ringoayman68@gmail.com</t>
  </si>
  <si>
    <t>212777743252</t>
  </si>
  <si>
    <t>Abro</t>
  </si>
  <si>
    <t>Nanitta</t>
  </si>
  <si>
    <t>khadijaarmel3@gmail.com</t>
  </si>
  <si>
    <t>212628640721</t>
  </si>
  <si>
    <t>Bensaltana</t>
  </si>
  <si>
    <t>Abdelbasset</t>
  </si>
  <si>
    <t>ab482490@gmail.com</t>
  </si>
  <si>
    <t>212662226458</t>
  </si>
  <si>
    <t>Lamine</t>
  </si>
  <si>
    <t>Agacdir</t>
  </si>
  <si>
    <t>mohamed.lamine06@gmail.com</t>
  </si>
  <si>
    <t>34663463487</t>
  </si>
  <si>
    <t>Sabbar</t>
  </si>
  <si>
    <t>Mohamed Rami</t>
  </si>
  <si>
    <t>Sevilla</t>
  </si>
  <si>
    <t>andalousiamag@gmail.com</t>
  </si>
  <si>
    <t>212617171704</t>
  </si>
  <si>
    <t>Bakkali</t>
  </si>
  <si>
    <t>Abdo</t>
  </si>
  <si>
    <t>Tanger Boukhalef</t>
  </si>
  <si>
    <t>Appart Marina casa</t>
  </si>
  <si>
    <t>tmhservices54@gmail.com</t>
  </si>
  <si>
    <t>212668926689</t>
  </si>
  <si>
    <t>Zermouni</t>
  </si>
  <si>
    <t>Yamina</t>
  </si>
  <si>
    <t>temaraostada7@gmail.com</t>
  </si>
  <si>
    <t>212662062284</t>
  </si>
  <si>
    <t>Boulhous</t>
  </si>
  <si>
    <t>212641675616</t>
  </si>
  <si>
    <t>Hassani</t>
  </si>
  <si>
    <t>hassanizakaria75@gmail.com</t>
  </si>
  <si>
    <t>212649402955</t>
  </si>
  <si>
    <t>Benchamakh</t>
  </si>
  <si>
    <t>Abderraouf</t>
  </si>
  <si>
    <t>212666215880</t>
  </si>
  <si>
    <t>Bouyahiaoui</t>
  </si>
  <si>
    <t>Brahim</t>
  </si>
  <si>
    <t>New Fes</t>
  </si>
  <si>
    <t>brahimbouyahiaoui09@gmail.com</t>
  </si>
  <si>
    <t>212671606803</t>
  </si>
  <si>
    <t>Lamarti</t>
  </si>
  <si>
    <t>Idriss</t>
  </si>
  <si>
    <t>idrisslamarti1@gmail.com</t>
  </si>
  <si>
    <t>212666765134</t>
  </si>
  <si>
    <t>souki9004@icloud.com</t>
  </si>
  <si>
    <t>33650622961</t>
  </si>
  <si>
    <t>Elhourri</t>
  </si>
  <si>
    <t>Abdelali</t>
  </si>
  <si>
    <t>Azrou</t>
  </si>
  <si>
    <t>elhouri.ali2@gmail.com</t>
  </si>
  <si>
    <t>212666042429</t>
  </si>
  <si>
    <t>Medkouri</t>
  </si>
  <si>
    <t>terrain a vendre zone villa</t>
  </si>
  <si>
    <t>Terrain</t>
  </si>
  <si>
    <t>Pas de soucis de budget</t>
  </si>
  <si>
    <t>212664179498</t>
  </si>
  <si>
    <t>Fouad Habi</t>
  </si>
  <si>
    <t>entre ain diab et darb a cote de mer res fermee - petite villa 300m2 terrain tres moderne neuve pas de soucis budget ; il a un appart a racine 280m2 loca ou vente - en face de l'ecole espagnole, 1 appart par etage - 1er etage 2 terrasses.- 2 places garage rdc ; loca + vente m2; Rdj petite piscine à côté de la mer Ain Diab et ext ou darb 
Cherche pour 2 fils 2 studios pour investissement 1.2MD facile à louer meublé payer plus 19k non meuble 22k meuble ; 5.7MD vente</t>
  </si>
  <si>
    <t>fouadhabi@live.fr</t>
  </si>
  <si>
    <t>212675624248</t>
  </si>
  <si>
    <t>El Amrani</t>
  </si>
  <si>
    <t>elamrani.mehdy@hotmail.com</t>
  </si>
  <si>
    <t>212664001665</t>
  </si>
  <si>
    <t>Khadija Zefzouf</t>
  </si>
  <si>
    <t>Zefzouf.k@gmail.com</t>
  </si>
  <si>
    <t>212704556111</t>
  </si>
  <si>
    <t>El Omari</t>
  </si>
  <si>
    <t>Yassine</t>
  </si>
  <si>
    <t>Pas interessé</t>
  </si>
  <si>
    <t>الدر البيصاء</t>
  </si>
  <si>
    <t>zohra.banbasi47@gmail.com</t>
  </si>
  <si>
    <t>212667940920</t>
  </si>
  <si>
    <t>عبدالهادي طيوس</t>
  </si>
  <si>
    <t>فاس</t>
  </si>
  <si>
    <t>abdelhaditayouss@gmail.com</t>
  </si>
  <si>
    <t>212662213832</t>
  </si>
  <si>
    <t>Abdennour M. Abdennour</t>
  </si>
  <si>
    <t>Al Huceima</t>
  </si>
  <si>
    <t>abdennour1523@gmail.com</t>
  </si>
  <si>
    <t>212663217398</t>
  </si>
  <si>
    <t>Khalid ziane</t>
  </si>
  <si>
    <t>ziane@cdginvest.ma</t>
  </si>
  <si>
    <t>212644000240</t>
  </si>
  <si>
    <t>Jerrari Zakaria</t>
  </si>
  <si>
    <t>mlkmesmoudi@gmail.com</t>
  </si>
  <si>
    <t>212666877517</t>
  </si>
  <si>
    <t>Imane Kh</t>
  </si>
  <si>
    <t>imane.khatim@gmail.com</t>
  </si>
  <si>
    <t>212656253942</t>
  </si>
  <si>
    <t>Ihssane NOUR ELHADI</t>
  </si>
  <si>
    <t>ihssane.nourelhadi@gmail.com</t>
  </si>
  <si>
    <t>212663039198</t>
  </si>
  <si>
    <t>Majid</t>
  </si>
  <si>
    <t>pro.majidtahri@gmail.com</t>
  </si>
  <si>
    <t>212662550000</t>
  </si>
  <si>
    <t>Yara Fati</t>
  </si>
  <si>
    <t>rami2010.fr@gmail.com</t>
  </si>
  <si>
    <t>212659620112</t>
  </si>
  <si>
    <t>Abdslam</t>
  </si>
  <si>
    <t>amirzarzour@gmail.com</t>
  </si>
  <si>
    <t>212636169271</t>
  </si>
  <si>
    <t>Loubna Solhi</t>
  </si>
  <si>
    <t>loubnasolhi4@gmail.com</t>
  </si>
  <si>
    <t>212602537530</t>
  </si>
  <si>
    <t>Najib Jammoua</t>
  </si>
  <si>
    <t>Numero Errone | Famille</t>
  </si>
  <si>
    <t>Malnes</t>
  </si>
  <si>
    <t>Najibjammoua1@gmail.com</t>
  </si>
  <si>
    <t>212664975115</t>
  </si>
  <si>
    <t>Simo Simo</t>
  </si>
  <si>
    <t>zaio</t>
  </si>
  <si>
    <t>212627446168</t>
  </si>
  <si>
    <t>Chaiame Elham</t>
  </si>
  <si>
    <t>Oudja</t>
  </si>
  <si>
    <t>elhammoutisamia6@gmail.com</t>
  </si>
  <si>
    <t>212600300288</t>
  </si>
  <si>
    <t>Siham Elgharbi</t>
  </si>
  <si>
    <t>soujad2011@gmail.com</t>
  </si>
  <si>
    <t>212661238401</t>
  </si>
  <si>
    <t>Jebbari</t>
  </si>
  <si>
    <t xml:space="preserve">Latifa </t>
  </si>
  <si>
    <t>Doublons meme numero que berdai Hassan | Appel sans reponse - follow up whatsapp, interesse par lachat et non la location, il nous reviendra plus tard avec plus dinformations | 1 personne | Couple</t>
  </si>
  <si>
    <t>jebbarilatifa@yahoo.fr</t>
  </si>
  <si>
    <t>212664468474</t>
  </si>
  <si>
    <t>Elkettani</t>
  </si>
  <si>
    <t xml:space="preserve">Chafik </t>
  </si>
  <si>
    <t>Je lui ai parle. Super interessant. Recherche une villa a detruire et construire ou un terrain. A part si cest une villa super neuve avec bon prix. Il a un budget allant de 10 a 20M. Il veut Anfa, Para Anfa, Ain Diab, Ain Diab Extension,...</t>
  </si>
  <si>
    <t>elkettanichafik@gmail.com</t>
  </si>
  <si>
    <t>212661325691</t>
  </si>
  <si>
    <t>Abdellatif Hassabou</t>
  </si>
  <si>
    <t>abdellatifhassabou@gmail.com</t>
  </si>
  <si>
    <t>212664063563</t>
  </si>
  <si>
    <t>Meriem Najim</t>
  </si>
  <si>
    <t>meriem.najim@gmail.com</t>
  </si>
  <si>
    <t>212661376888</t>
  </si>
  <si>
    <t>El Khayati</t>
  </si>
  <si>
    <t>Salima</t>
  </si>
  <si>
    <t>salimaelkhayati1@gmail.com</t>
  </si>
  <si>
    <t>212661176261</t>
  </si>
  <si>
    <t>Jirari</t>
  </si>
  <si>
    <t>Lamia</t>
  </si>
  <si>
    <t>Maroco</t>
  </si>
  <si>
    <t>aaibtissam2017@gmail.com</t>
  </si>
  <si>
    <t>212664824900</t>
  </si>
  <si>
    <t>Tahiri</t>
  </si>
  <si>
    <t>Yasmina</t>
  </si>
  <si>
    <t>yasminatahiri01@gmail.com</t>
  </si>
  <si>
    <t>212661401846</t>
  </si>
  <si>
    <t>Jai</t>
  </si>
  <si>
    <t>Taoufik</t>
  </si>
  <si>
    <t>taoufikjai@gmail.com</t>
  </si>
  <si>
    <t>212662067607</t>
  </si>
  <si>
    <t>Samara</t>
  </si>
  <si>
    <t>Samara.crealook@gmail.com</t>
  </si>
  <si>
    <t>212653695891</t>
  </si>
  <si>
    <t>Boumhandi</t>
  </si>
  <si>
    <t>Fatima</t>
  </si>
  <si>
    <t>loujainerosehamdi@gmail.com</t>
  </si>
  <si>
    <t>212631318042</t>
  </si>
  <si>
    <t>Bond</t>
  </si>
  <si>
    <t>Lisa</t>
  </si>
  <si>
    <t>nazeaus@hotmail.com</t>
  </si>
  <si>
    <t>212636775985</t>
  </si>
  <si>
    <t>Farah</t>
  </si>
  <si>
    <t>Farah3@gmail.com</t>
  </si>
  <si>
    <t>p:+212661438837</t>
  </si>
  <si>
    <t>imotahiri170@gmail.com</t>
  </si>
  <si>
    <t>212656787734</t>
  </si>
  <si>
    <t>Saadaoui</t>
  </si>
  <si>
    <t>y.saadaoui76@gmail.com</t>
  </si>
  <si>
    <t>212677186060</t>
  </si>
  <si>
    <t>Lakhlifi</t>
  </si>
  <si>
    <t>Kamal</t>
  </si>
  <si>
    <t>212664303763</t>
  </si>
  <si>
    <t>Darif</t>
  </si>
  <si>
    <t>Houssam</t>
  </si>
  <si>
    <t>London</t>
  </si>
  <si>
    <t>houssam_darif@live.com</t>
  </si>
  <si>
    <t>212672765632</t>
  </si>
  <si>
    <t>Ressame Senhaji</t>
  </si>
  <si>
    <t>Abdou</t>
  </si>
  <si>
    <t>abdelouahhabressame@gmail.com</t>
  </si>
  <si>
    <t>212603432777</t>
  </si>
  <si>
    <t>Samoudi</t>
  </si>
  <si>
    <t>Soufiane</t>
  </si>
  <si>
    <t>samoudisoufiane1@gmail.com</t>
  </si>
  <si>
    <t>971559240880</t>
  </si>
  <si>
    <t>Adel</t>
  </si>
  <si>
    <t>pop.adel044@gmail.com</t>
  </si>
  <si>
    <t>212664132430</t>
  </si>
  <si>
    <t>Ahmimi</t>
  </si>
  <si>
    <t>Ahmimi@gmail.com</t>
  </si>
  <si>
    <t>212614013482</t>
  </si>
  <si>
    <t>Bourhabi</t>
  </si>
  <si>
    <t xml:space="preserve">Lila </t>
  </si>
  <si>
    <t>leilabourhabi95@gmail.com</t>
  </si>
  <si>
    <t>212661430051</t>
  </si>
  <si>
    <t>Kassi Lahlou</t>
  </si>
  <si>
    <t xml:space="preserve">Zakaria </t>
  </si>
  <si>
    <t>zakariakassilahlou@gmail.com</t>
  </si>
  <si>
    <t>212642474741</t>
  </si>
  <si>
    <t>Salima Dahdah</t>
  </si>
  <si>
    <t>salima2.dah@gmail.com</t>
  </si>
  <si>
    <t>212661457292</t>
  </si>
  <si>
    <t>Belhaj</t>
  </si>
  <si>
    <t>New York</t>
  </si>
  <si>
    <t>benrafih45@hotmail.com</t>
  </si>
  <si>
    <t>212661906904</t>
  </si>
  <si>
    <t>Zineb Oukacha</t>
  </si>
  <si>
    <t>zineb.oukacha@gmail.com</t>
  </si>
  <si>
    <t>212608887395</t>
  </si>
  <si>
    <t>Mohammed Nhairi</t>
  </si>
  <si>
    <t>Budget max 900K. Il peut depasser un peu Cherche a investir. Va monter a casa dici a 2 semaines. Il faut lui envoyer des biens afin deffectuer des visites. | Contacter il faudra lui envoyer des biens immobiliers quil ya.</t>
  </si>
  <si>
    <t>swinsimo@gmail.com</t>
  </si>
  <si>
    <t>212661204607</t>
  </si>
  <si>
    <t>Amina Fouaze</t>
  </si>
  <si>
    <t>Ne reponds pas</t>
  </si>
  <si>
    <t>amfouaze@gmail.com</t>
  </si>
  <si>
    <t>212632302911</t>
  </si>
  <si>
    <t>Najia Loussal</t>
  </si>
  <si>
    <t>najia.loussal@icloud.com</t>
  </si>
  <si>
    <t>212663438361</t>
  </si>
  <si>
    <t>Jawad Zahidi</t>
  </si>
  <si>
    <t>jalilakabbaj@hotmail.com</t>
  </si>
  <si>
    <t>212661336529</t>
  </si>
  <si>
    <t>Hassan Berdai</t>
  </si>
  <si>
    <t>h_berdai@rocketmail.com</t>
  </si>
  <si>
    <t>212645888108</t>
  </si>
  <si>
    <t>Youness Bermime</t>
  </si>
  <si>
    <t>Louer un appartement 2 chambres vide, 5000 max, centre ville | Couple</t>
  </si>
  <si>
    <t>earningsbyyouness@gmail.com</t>
  </si>
  <si>
    <t>634885519</t>
  </si>
  <si>
    <t>moon</t>
  </si>
  <si>
    <t>1 personne</t>
  </si>
  <si>
    <t>mmhattou@gmail.com</t>
  </si>
  <si>
    <t>212662011592</t>
  </si>
  <si>
    <t>Mouhcine elyoubi elidrissi</t>
  </si>
  <si>
    <t>Couple</t>
  </si>
  <si>
    <t>mouhcinovitch@gmail.com</t>
  </si>
  <si>
    <t>212602109640</t>
  </si>
  <si>
    <t>Ha Mouda</t>
  </si>
  <si>
    <t>hamoudaaissaoui4@gmail.com</t>
  </si>
  <si>
    <t>212665248420</t>
  </si>
  <si>
    <t>Jalilakabbaj</t>
  </si>
  <si>
    <t>Cest une femme qui repond a sa place. Ta3efrit, elle veut la localisation. Elle demande plus de photos sur whatsapp. Cest hors budget apparemment | Cest une femme. Le lead a tout pour etre suspect pourtant jai parle a la femme et elle a lair courtoise. Cest bizarre. Vigilance haute</t>
  </si>
  <si>
    <t>Jalilakabbaj1980@gmail.com</t>
  </si>
  <si>
    <t>212654793140</t>
  </si>
  <si>
    <t>Yousra Boulhna</t>
  </si>
  <si>
    <t>Essayer de la contacter, ne reponds pas, recontacte, | 1 personne</t>
  </si>
  <si>
    <t>youssrara99@gmail.com</t>
  </si>
  <si>
    <t>212697212518</t>
  </si>
  <si>
    <t>Fadel Ait saleh</t>
  </si>
  <si>
    <t>Lui il cherche a agadir budget 2,500 a 3,500 a cote de la fac salal dakhla hay mohammedi | Couple</t>
  </si>
  <si>
    <t>fadelaitsaleh@gmail.com</t>
  </si>
  <si>
    <t>212608768567</t>
  </si>
  <si>
    <t>عبدو سلطان</t>
  </si>
  <si>
    <t>il cherche sur Rabat 1 chambre, il avait pas le temps, et ne ma pas laisse le qualifier, je vais le rappeler mais je doute fortement quil loue infine car meme la date demmenagement nest pas sure dans sa tete | Couple</t>
  </si>
  <si>
    <t>Montreal</t>
  </si>
  <si>
    <t>Abdelbassetkattaf@gmail.com</t>
  </si>
  <si>
    <t>212703569208</t>
  </si>
  <si>
    <t>Malik Asrin</t>
  </si>
  <si>
    <t>maroub78@gmail.com</t>
  </si>
  <si>
    <t>212661146386</t>
  </si>
  <si>
    <t>moulay Youssef lemghari</t>
  </si>
  <si>
    <t>rabat</t>
  </si>
  <si>
    <t>yousseflemghari14@gmail.com</t>
  </si>
  <si>
    <t>212664789239</t>
  </si>
  <si>
    <t>Brahim Boukharta</t>
  </si>
  <si>
    <t>nasimm333@hotmail.fr</t>
  </si>
  <si>
    <t>212608810111</t>
  </si>
  <si>
    <t>Hajar Aasem</t>
  </si>
  <si>
    <t>hajarmesaa@icloud.com</t>
  </si>
  <si>
    <t>212611852815</t>
  </si>
  <si>
    <t>Ali Rafik</t>
  </si>
  <si>
    <t>Derroua</t>
  </si>
  <si>
    <t>Simorafik981@gmail.com</t>
  </si>
  <si>
    <t>212600149911</t>
  </si>
  <si>
    <t>Imane Ben abdallah</t>
  </si>
  <si>
    <t>imanebenabdallah@gmail.com</t>
  </si>
  <si>
    <t>212642319806</t>
  </si>
  <si>
    <t>Kandoussi ouafae</t>
  </si>
  <si>
    <t>aklahassane@gmail.com</t>
  </si>
  <si>
    <t>212693816401</t>
  </si>
  <si>
    <t>Reda Azriaa</t>
  </si>
  <si>
    <t>redaredazriaaitalie@gmail.com</t>
  </si>
  <si>
    <t>212704460248</t>
  </si>
  <si>
    <t>Moncef eladi</t>
  </si>
  <si>
    <t>Salé</t>
  </si>
  <si>
    <t>Eladimouncef@gmail.com</t>
  </si>
  <si>
    <t>212661305037</t>
  </si>
  <si>
    <t>Anass Touili</t>
  </si>
  <si>
    <t>oujda</t>
  </si>
  <si>
    <t>touilianass50@gmail.com</t>
  </si>
  <si>
    <t>212663626359</t>
  </si>
  <si>
    <t>Fàhd Abouliatim</t>
  </si>
  <si>
    <t>fahd.abouliatim@uplinegroup.ma</t>
  </si>
  <si>
    <t>212664700906</t>
  </si>
  <si>
    <t>maystro car</t>
  </si>
  <si>
    <t>mohammedia</t>
  </si>
  <si>
    <t>7emedimension71@gmail.com</t>
  </si>
  <si>
    <t>212693901882</t>
  </si>
  <si>
    <t>RaBia Azz</t>
  </si>
  <si>
    <t>Tamesna</t>
  </si>
  <si>
    <t>rabiaa.az123@gmail.com</t>
  </si>
  <si>
    <t>212662082342</t>
  </si>
  <si>
    <t>Hakim Ben</t>
  </si>
  <si>
    <t>Fez</t>
  </si>
  <si>
    <t>hakimben443@gmail.com</t>
  </si>
  <si>
    <t>212720953480</t>
  </si>
  <si>
    <t>Othmane Œū</t>
  </si>
  <si>
    <t>othmanewallpapers@gmail.com</t>
  </si>
  <si>
    <t>212660064771</t>
  </si>
  <si>
    <t>Rania Farji</t>
  </si>
  <si>
    <t>Raniaiphone12@gmail.com</t>
  </si>
  <si>
    <t>212676441452</t>
  </si>
  <si>
    <t>Redouan Tallis</t>
  </si>
  <si>
    <t>Al Mediq</t>
  </si>
  <si>
    <t>ridwantalis121@gmail.com</t>
  </si>
  <si>
    <t>212600130422</t>
  </si>
  <si>
    <t>Amine Sabri</t>
  </si>
  <si>
    <t>aminsaber19@icloud.com</t>
  </si>
  <si>
    <t>212626492151</t>
  </si>
  <si>
    <t>Mamy Drame</t>
  </si>
  <si>
    <t>ndeyefatoudrame930@gmail.com</t>
  </si>
  <si>
    <t>212661629862</t>
  </si>
  <si>
    <t>Hajar hilmi</t>
  </si>
  <si>
    <t>jiji_ach@hotmail.fr</t>
  </si>
  <si>
    <t>212602168979</t>
  </si>
  <si>
    <t>Yassir smiris</t>
  </si>
  <si>
    <t>Yassir.smiris@gmail.com</t>
  </si>
  <si>
    <t>212620473109</t>
  </si>
  <si>
    <t>Ikram</t>
  </si>
  <si>
    <t>212674273804</t>
  </si>
  <si>
    <t>Ilham Boujmada</t>
  </si>
  <si>
    <t>boujmadailham@gmail.com</t>
  </si>
  <si>
    <t>212604356548</t>
  </si>
  <si>
    <t>Othmane Abisse</t>
  </si>
  <si>
    <t>Abu Dhabi</t>
  </si>
  <si>
    <t>oth_zak@hotmail.ch</t>
  </si>
  <si>
    <t>212665127709</t>
  </si>
  <si>
    <t>Makhchane Meryem</t>
  </si>
  <si>
    <t>meryem.makhchane@e.ispitsfes.ac.ma</t>
  </si>
  <si>
    <t>212695220960</t>
  </si>
  <si>
    <t>Ismail bilali</t>
  </si>
  <si>
    <t>Ismailbilaliarchach@gmail.com</t>
  </si>
  <si>
    <t>212647902522</t>
  </si>
  <si>
    <t>Rida Omar</t>
  </si>
  <si>
    <t>reda1987redared@gmail.com</t>
  </si>
  <si>
    <t>212661869748</t>
  </si>
  <si>
    <t>Noureddine mesrar</t>
  </si>
  <si>
    <t>abdeallah@gmail.com</t>
  </si>
  <si>
    <t>212674594064</t>
  </si>
  <si>
    <t>Mandicou Sall</t>
  </si>
  <si>
    <t>Sallmandicou@gmail.com</t>
  </si>
  <si>
    <t>212633333333</t>
  </si>
  <si>
    <t>Soufiyan Elhajji</t>
  </si>
  <si>
    <t>soufyane.elhajji@gmail.com</t>
  </si>
  <si>
    <t>212718040320</t>
  </si>
  <si>
    <t>Seydinah Bril Au Calm</t>
  </si>
  <si>
    <t>Dakar</t>
  </si>
  <si>
    <t>dfall5915@gmail.com</t>
  </si>
  <si>
    <t>212661067591</t>
  </si>
  <si>
    <t>Walid habiballah</t>
  </si>
  <si>
    <t>212604338600</t>
  </si>
  <si>
    <t>Oum Rim</t>
  </si>
  <si>
    <t>Bouchraabounour@gmail.com</t>
  </si>
  <si>
    <t>212668313902</t>
  </si>
  <si>
    <t>Majda Moutaoukil</t>
  </si>
  <si>
    <t>Majdakine@gmail.com</t>
  </si>
  <si>
    <t>212706259275</t>
  </si>
  <si>
    <t>Hiba Ez</t>
  </si>
  <si>
    <t>Hibaezzaki46@gmail.com</t>
  </si>
  <si>
    <t>212611897658</t>
  </si>
  <si>
    <t>Adam Mhammedi</t>
  </si>
  <si>
    <t>adamcpourtoi@gmail.com</t>
  </si>
  <si>
    <t>212646704763</t>
  </si>
  <si>
    <t>Wiam Guiri</t>
  </si>
  <si>
    <t>wiam.guiri04@gmail.com</t>
  </si>
  <si>
    <t>212600015274</t>
  </si>
  <si>
    <t>Faiçal Taqi</t>
  </si>
  <si>
    <t>Témara</t>
  </si>
  <si>
    <t>taqifaical@gmail.com</t>
  </si>
  <si>
    <t>212614581173</t>
  </si>
  <si>
    <t>Moad Lamrabate</t>
  </si>
  <si>
    <t>lamrabate26@gmail.com</t>
  </si>
  <si>
    <t>212661098210</t>
  </si>
  <si>
    <t>Sbaa</t>
  </si>
  <si>
    <t>Kénitra</t>
  </si>
  <si>
    <t>sbaamohammed@yahoo.fr</t>
  </si>
  <si>
    <t>212681884482</t>
  </si>
  <si>
    <t>mohammed baalla</t>
  </si>
  <si>
    <t>mèknes</t>
  </si>
  <si>
    <t>rayanxsimo123@gmail.com</t>
  </si>
  <si>
    <t>212624366710</t>
  </si>
  <si>
    <t>Zineb Amarir</t>
  </si>
  <si>
    <t>zamarir491@gmail.com</t>
  </si>
  <si>
    <t>212663649488</t>
  </si>
  <si>
    <t>Sara Ez-zaouali</t>
  </si>
  <si>
    <t>Ben Slimane</t>
  </si>
  <si>
    <t>ezzaoualisara1@gmail.com</t>
  </si>
  <si>
    <t>212661994362</t>
  </si>
  <si>
    <t>Jihad Choukri</t>
  </si>
  <si>
    <t>jihadchoukri20@gmail.com</t>
  </si>
  <si>
    <t>212661752845</t>
  </si>
  <si>
    <t>Wad Bak</t>
  </si>
  <si>
    <t>didir14@hotmail.com</t>
  </si>
  <si>
    <t>212702034101</t>
  </si>
  <si>
    <t>Zineb Hamdani</t>
  </si>
  <si>
    <t>z.hamdani9@gmail.com</t>
  </si>
  <si>
    <t>212661338038</t>
  </si>
  <si>
    <t>Youssef Chafchaouni</t>
  </si>
  <si>
    <t>chafchaouni.youssef@gmail.com</t>
  </si>
  <si>
    <t>212620000555</t>
  </si>
  <si>
    <t>Imane Bensouda Rhourbi</t>
  </si>
  <si>
    <t>imanerhourbi@yahoo.fr</t>
  </si>
  <si>
    <t>212664902497</t>
  </si>
  <si>
    <t>Larbi Wafi</t>
  </si>
  <si>
    <t>Harhoura</t>
  </si>
  <si>
    <t>larbiw@outlook.com</t>
  </si>
  <si>
    <t>212661957255</t>
  </si>
  <si>
    <t>Salima Benraissi</t>
  </si>
  <si>
    <t>salimabenraissi@gmail.com</t>
  </si>
  <si>
    <t>212666116284</t>
  </si>
  <si>
    <t>Soufiane Mouchrif Ben Omar</t>
  </si>
  <si>
    <t>soufiane-mouchrif@hotmail.fr</t>
  </si>
  <si>
    <t>212660656029</t>
  </si>
  <si>
    <t>Bargache</t>
  </si>
  <si>
    <t>Casablanca maroc</t>
  </si>
  <si>
    <t>autorex.ma@gmail.com</t>
  </si>
  <si>
    <t>212661138470</t>
  </si>
  <si>
    <t>Narjiss LOUDIYI</t>
  </si>
  <si>
    <t>nloudiyi@n7.ma</t>
  </si>
  <si>
    <t>33760218703</t>
  </si>
  <si>
    <t>Fériel Mestiri</t>
  </si>
  <si>
    <t>Le Raincy</t>
  </si>
  <si>
    <t>mestiriferiel93@hotmail.com</t>
  </si>
  <si>
    <t>212661185317</t>
  </si>
  <si>
    <t>Youssef Harouchi</t>
  </si>
  <si>
    <t>y.harouchi@gmail.com</t>
  </si>
  <si>
    <t>212661650441</t>
  </si>
  <si>
    <t>Adam Nahri</t>
  </si>
  <si>
    <t>nahri.rayauto@gmail.com</t>
  </si>
  <si>
    <t>212656460457</t>
  </si>
  <si>
    <t>Mohamed BENMOUSSA</t>
  </si>
  <si>
    <t>Veut recevoir les infos dabord sur wtsp</t>
  </si>
  <si>
    <t>simo.ben98@gmail.com</t>
  </si>
  <si>
    <t>212661313715</t>
  </si>
  <si>
    <t>Mohamed Amdi</t>
  </si>
  <si>
    <t>amdimohamed@gmail.com</t>
  </si>
  <si>
    <t>212665280221</t>
  </si>
  <si>
    <t>Abdelhakim Chaouki</t>
  </si>
  <si>
    <t>Appelez il ne reponds pas, message whatsapp, il vient de mappeler je dois rappeler demain a 10h du matin, il recherche un appartement pour investissement locatif | Couple</t>
  </si>
  <si>
    <t>studio marina</t>
  </si>
  <si>
    <t>Zaynab21@hotmail.fr</t>
  </si>
  <si>
    <t>212669026646</t>
  </si>
  <si>
    <t>Salwa El Hassani</t>
  </si>
  <si>
    <t>Tres interesse Budget Max 1,8 1,9 avec frais de notaires, elle veut pas depasser 2M, elle cherche un appartement Maarif extension Princesses, CIL,, recherche immediatement et peut commencer a faire les visites apres LEID | Couple</t>
  </si>
  <si>
    <t>elhassani.salwa@gmail.com</t>
  </si>
  <si>
    <t>93709496427</t>
  </si>
  <si>
    <t>نبيله طنجاويه الفيداليه</t>
  </si>
  <si>
    <t>سرو ولا</t>
  </si>
  <si>
    <t>nezhaa6676@gmail.com</t>
  </si>
  <si>
    <t>212663621784</t>
  </si>
  <si>
    <t>Fadoua Eddiani</t>
  </si>
  <si>
    <t>eddianif@gmail.com</t>
  </si>
  <si>
    <t>212661325187</t>
  </si>
  <si>
    <t>Fatima zahra kida</t>
  </si>
  <si>
    <t>Casa Blanca</t>
  </si>
  <si>
    <t>212661491902</t>
  </si>
  <si>
    <t>Safae Bk</t>
  </si>
  <si>
    <t>safaebouchikhi@hotmail.com</t>
  </si>
  <si>
    <t>212627867481</t>
  </si>
  <si>
    <t>Mahamane abdoulaye</t>
  </si>
  <si>
    <t>CASABLANCA</t>
  </si>
  <si>
    <t>hopebusinesscom@gmail.com</t>
  </si>
  <si>
    <t>33682994793</t>
  </si>
  <si>
    <t>Sophia Bouitane Sbaii Rigault</t>
  </si>
  <si>
    <t>vipconseil@live.fr</t>
  </si>
  <si>
    <t>212627805087</t>
  </si>
  <si>
    <t>Hamza Aas</t>
  </si>
  <si>
    <t>Puerto Cansado</t>
  </si>
  <si>
    <t>212606919774</t>
  </si>
  <si>
    <t>Badar Barki</t>
  </si>
  <si>
    <t>tanger</t>
  </si>
  <si>
    <t>altasmasmovilofertas@gmail.com</t>
  </si>
  <si>
    <t>212662222165</t>
  </si>
  <si>
    <t>Alaa Squalli</t>
  </si>
  <si>
    <t>Casablnaca</t>
  </si>
  <si>
    <t>alaestash@hotmail.com</t>
  </si>
  <si>
    <t>212671134359</t>
  </si>
  <si>
    <t>Samer Salame</t>
  </si>
  <si>
    <t>salamesamer@gmail.com</t>
  </si>
  <si>
    <t>16475154362</t>
  </si>
  <si>
    <t>Zoubida Chafai</t>
  </si>
  <si>
    <t>zoubida.c.elalaoui@gmail.com</t>
  </si>
  <si>
    <t>212661241567</t>
  </si>
  <si>
    <t>Ghizlane BE</t>
  </si>
  <si>
    <t>beldaghizlane@hotmail.fr</t>
  </si>
  <si>
    <t>212669812996</t>
  </si>
  <si>
    <t>Ikràm Ib</t>
  </si>
  <si>
    <t>ikramib.1995@gmail.com</t>
  </si>
  <si>
    <t>212664745041</t>
  </si>
  <si>
    <t>Ezzahraoui Nadia</t>
  </si>
  <si>
    <t>n_ezzahraoui@yahoo.fr</t>
  </si>
  <si>
    <t>212624161128</t>
  </si>
  <si>
    <t>Mongia Hajri</t>
  </si>
  <si>
    <t>hajri.mongia@yahoo.fr</t>
  </si>
  <si>
    <t>212661064926</t>
  </si>
  <si>
    <t>Sabrina Douhar</t>
  </si>
  <si>
    <t>sabrine.douhar@gmail.com</t>
  </si>
  <si>
    <t>212645239337</t>
  </si>
  <si>
    <t>Oumaima Tajani</t>
  </si>
  <si>
    <t>tajanioumaima@gmail.com</t>
  </si>
  <si>
    <t>33664319870</t>
  </si>
  <si>
    <t>Wahid naoual</t>
  </si>
  <si>
    <t>naoualhud@yahoo.fr</t>
  </si>
  <si>
    <t>212664978021</t>
  </si>
  <si>
    <t>Ronan Cadorel</t>
  </si>
  <si>
    <t>ronan.cadorel@ihg.com</t>
  </si>
  <si>
    <t>212666261095</t>
  </si>
  <si>
    <t>Mialed Aicha</t>
  </si>
  <si>
    <t>aicha_mialed@hotmail.fr</t>
  </si>
  <si>
    <t>212662728283</t>
  </si>
  <si>
    <t>Amine Benjelloun</t>
  </si>
  <si>
    <t>amine_138@hotmail.com</t>
  </si>
  <si>
    <t>34602082969</t>
  </si>
  <si>
    <t>Habib c</t>
  </si>
  <si>
    <t>habib.interbiotrans@gmail.com</t>
  </si>
  <si>
    <t>212663050627</t>
  </si>
  <si>
    <t>Z</t>
  </si>
  <si>
    <t>zinebjoundy@hotmail.com</t>
  </si>
  <si>
    <t>212625449199</t>
  </si>
  <si>
    <t>Adam</t>
  </si>
  <si>
    <t>adbouhout@gmail.com</t>
  </si>
  <si>
    <t>212679443260</t>
  </si>
  <si>
    <t>Charlene Anne</t>
  </si>
  <si>
    <t>Contacter par whatsapp / essayer dappeler elle ma repondu occupe au travail, a relancer le 17 Mars | Famille</t>
  </si>
  <si>
    <t>laurielimbourg79@gmail.com</t>
  </si>
  <si>
    <t>306993021719</t>
  </si>
  <si>
    <t>Hàssàn es samtoul</t>
  </si>
  <si>
    <t>Son frere a rempli le formulaire will get back to me | Famille</t>
  </si>
  <si>
    <t>الفقيه بن صالح</t>
  </si>
  <si>
    <t>villa calif</t>
  </si>
  <si>
    <t>hassanloveoiu@gmail.com</t>
  </si>
  <si>
    <t>212696419029</t>
  </si>
  <si>
    <t>Agdir Mohamed</t>
  </si>
  <si>
    <t>famille</t>
  </si>
  <si>
    <t>Sidi Bidi</t>
  </si>
  <si>
    <t>agadirmohamed064@gmail.com</t>
  </si>
  <si>
    <t>212660062309</t>
  </si>
  <si>
    <t>essafi rayan</t>
  </si>
  <si>
    <t>Alinet.maroc@gmail.com</t>
  </si>
  <si>
    <t>212613321030</t>
  </si>
  <si>
    <t>Ouiam Sadouk</t>
  </si>
  <si>
    <t>Ouiambakpro@gmail.com</t>
  </si>
  <si>
    <t>212645835288</t>
  </si>
  <si>
    <t>CHAHI Saïd</t>
  </si>
  <si>
    <t>saidchahi@yahoo.fr</t>
  </si>
  <si>
    <t>212663072682</t>
  </si>
  <si>
    <t>Badre Bechta</t>
  </si>
  <si>
    <t>Khénifra</t>
  </si>
  <si>
    <t>b.bechta18@gmail.com</t>
  </si>
  <si>
    <t>212621244288</t>
  </si>
  <si>
    <t>Narjiss Abbassi</t>
  </si>
  <si>
    <t>Abbassinarjiss4@gmail.com</t>
  </si>
  <si>
    <t>212606646611</t>
  </si>
  <si>
    <t>Monir Monir</t>
  </si>
  <si>
    <t>ahmedcharahil2020@gmail.com</t>
  </si>
  <si>
    <t>212666969616</t>
  </si>
  <si>
    <t>Adoum Laila</t>
  </si>
  <si>
    <t>laddoumester@gmail.com</t>
  </si>
  <si>
    <t>212661431642</t>
  </si>
  <si>
    <t>taky_h@hotmail.com</t>
  </si>
  <si>
    <t>212665618612</t>
  </si>
  <si>
    <t>Douâa</t>
  </si>
  <si>
    <t>Dm insta ( cherche studio les hopitaux) | 1 personne</t>
  </si>
  <si>
    <t>sabir.idrissi.d@gmail.com</t>
  </si>
  <si>
    <t>212661674539</t>
  </si>
  <si>
    <t>Assia El</t>
  </si>
  <si>
    <t>Appel sans reponse - follow up whatsapp, finaement reponds, elle veut louer appart hopitaux 2 mars budget 6 a 8000MAD mois. Veut emmenager 1er Mai, | 1 personne</t>
  </si>
  <si>
    <t>siiisiyaa@hotmail.fr</t>
  </si>
  <si>
    <t>212661055102</t>
  </si>
  <si>
    <t>Simo Mendoub</t>
  </si>
  <si>
    <t>arrachadaluminiumsarl@gmail.com</t>
  </si>
  <si>
    <t>212661220486</t>
  </si>
  <si>
    <t>mohammed-rahali@hotmail.com</t>
  </si>
  <si>
    <t>212661346301</t>
  </si>
  <si>
    <t>Thierry Rougé</t>
  </si>
  <si>
    <t>appart terrasse 2 ch pas de souci budget 1 sdb quartier pas de soucis parking | 1 personne</t>
  </si>
  <si>
    <t>t.rouge.perso@gmail.com</t>
  </si>
  <si>
    <t>212662138778</t>
  </si>
  <si>
    <t>Rahali Mounir</t>
  </si>
  <si>
    <t>Mounir.rhl@gmail.com</t>
  </si>
  <si>
    <t>212661554184</t>
  </si>
  <si>
    <t>Rahali Brahim</t>
  </si>
  <si>
    <t>kelaa sraghna</t>
  </si>
  <si>
    <t>rahalibrahim1989@gmail.com</t>
  </si>
  <si>
    <t>212695507577</t>
  </si>
  <si>
    <t>Ahmed Meftah</t>
  </si>
  <si>
    <t>Il est commercial, il a un client qui recherche un penthouse CFC, Domaine danfa, Riviera, Oasis, Princessess, Budget 6M - cest pour une petite famille | 1_personne</t>
  </si>
  <si>
    <t>ameftah10@gmail.com</t>
  </si>
  <si>
    <t>212661518948</t>
  </si>
  <si>
    <t>Mustapha Chadli</t>
  </si>
  <si>
    <t>El jadida</t>
  </si>
  <si>
    <t>chadlimustapha8@gmail.com</t>
  </si>
  <si>
    <t>212600143473</t>
  </si>
  <si>
    <t>Zaineb Naboulsi</t>
  </si>
  <si>
    <t>zaineb1320@outlook.fr</t>
  </si>
  <si>
    <t>212769647452</t>
  </si>
  <si>
    <t>Yassine simon richard</t>
  </si>
  <si>
    <t>212778512523</t>
  </si>
  <si>
    <t>Jiji Johayna</t>
  </si>
  <si>
    <t>Mehdia</t>
  </si>
  <si>
    <t>jihane.elrharbi1991@gmail.com</t>
  </si>
  <si>
    <t>212695148889</t>
  </si>
  <si>
    <t>Glenda Arbuis</t>
  </si>
  <si>
    <t>arbuisglenda460@gmail.com</t>
  </si>
  <si>
    <t>212770692424</t>
  </si>
  <si>
    <t>Safae Bellouch</t>
  </si>
  <si>
    <t>bellouchsafae70@gmail.com</t>
  </si>
  <si>
    <t>212684134826</t>
  </si>
  <si>
    <t>Hasnaâ Bensoltana</t>
  </si>
  <si>
    <t>hasna1bensoltana@gmail.com</t>
  </si>
  <si>
    <t>212643276441</t>
  </si>
  <si>
    <t>Sanae Azougagh</t>
  </si>
  <si>
    <t>212712205373</t>
  </si>
  <si>
    <t>Ndiaye Massaer</t>
  </si>
  <si>
    <t>Massaerndiaye95@icloud.com</t>
  </si>
  <si>
    <t>212673033960</t>
  </si>
  <si>
    <t>meryem hajji</t>
  </si>
  <si>
    <t>gero a</t>
  </si>
  <si>
    <t>zahraloukili30@gmail.com</t>
  </si>
  <si>
    <t>2M-3M MAD</t>
  </si>
  <si>
    <t>212661394568</t>
  </si>
  <si>
    <t>Khattab</t>
  </si>
  <si>
    <t>Meriem</t>
  </si>
  <si>
    <t>budget max 3MD - 3 chambres ; 2 sdb min wc toilet, balcon , pas de 1er etage 3eme pref, bien ensoleille, pas sur bd que ruelles pas de bruit, | Contacte par basma 14.03</t>
  </si>
  <si>
    <t>meriemkhattab.mk@gmail.com</t>
  </si>
  <si>
    <t>212661368125</t>
  </si>
  <si>
    <t>appel nowfel 25 / 02 pas de reponse - | Taille de l‘équipe : 1-3 personnes</t>
  </si>
  <si>
    <t>tazi.meryem@hotmail.fr</t>
  </si>
  <si>
    <t>212611580323</t>
  </si>
  <si>
    <t>El Balaidi</t>
  </si>
  <si>
    <t>Ferdaous</t>
  </si>
  <si>
    <t>b.ferdaous.x3@gmail.com</t>
  </si>
  <si>
    <t>212664175767</t>
  </si>
  <si>
    <t>Sbata</t>
  </si>
  <si>
    <t>Redouane</t>
  </si>
  <si>
    <t>r.sbata@ikoneconseil.ma</t>
  </si>
  <si>
    <t>212661246275</t>
  </si>
  <si>
    <t>Belkady</t>
  </si>
  <si>
    <t>Najat</t>
  </si>
  <si>
    <t>Appart route dazemmour</t>
  </si>
  <si>
    <t>chraibinajate@gmail.com</t>
  </si>
  <si>
    <t>AV-001</t>
  </si>
  <si>
    <t>-5k MAD</t>
  </si>
  <si>
    <t>212614096236</t>
  </si>
  <si>
    <t>Erriahi</t>
  </si>
  <si>
    <t>Seddam</t>
  </si>
  <si>
    <t>Taille de l‘équipe : 1-3 personnes</t>
  </si>
  <si>
    <t>seddam@cx-communication.ma</t>
  </si>
  <si>
    <t>212611552668</t>
  </si>
  <si>
    <t>Tajeddine</t>
  </si>
  <si>
    <t>dtajeddine@yahoo.fr</t>
  </si>
  <si>
    <t>212619556184</t>
  </si>
  <si>
    <t>Ettagmouti</t>
  </si>
  <si>
    <t>nowfel 02 25 / | Taille de l‘équipe : 1-3 personnes</t>
  </si>
  <si>
    <t>tagsin9@gmail.com</t>
  </si>
  <si>
    <t>212664770744</t>
  </si>
  <si>
    <t>ahmed.bensalem@gmail.com</t>
  </si>
  <si>
    <t>AL-004</t>
  </si>
  <si>
    <t>212632188130</t>
  </si>
  <si>
    <t>El Malki</t>
  </si>
  <si>
    <t>Neymar</t>
  </si>
  <si>
    <t>Al Khmissat</t>
  </si>
  <si>
    <t>neymarelmalki93@gmail.com</t>
  </si>
  <si>
    <t>212661238488</t>
  </si>
  <si>
    <t>Fadli</t>
  </si>
  <si>
    <t>Meriama</t>
  </si>
  <si>
    <t>mrimafadli@yahoo.fr</t>
  </si>
  <si>
    <t>212661146713</t>
  </si>
  <si>
    <t>El Filali</t>
  </si>
  <si>
    <t>Aziz</t>
  </si>
  <si>
    <t>filaliaziz83@gmail.com</t>
  </si>
  <si>
    <t>Estimation</t>
  </si>
  <si>
    <t>-5K</t>
  </si>
  <si>
    <t>212666578711</t>
  </si>
  <si>
    <t>Sefrioui</t>
  </si>
  <si>
    <t>Othmane</t>
  </si>
  <si>
    <t>-1M MAD si vente, superficie : -50m2</t>
  </si>
  <si>
    <t>casanegra.othy57@gmail.com</t>
  </si>
  <si>
    <t>212693558624</t>
  </si>
  <si>
    <t>Nadifi</t>
  </si>
  <si>
    <t>Mohamed Ali</t>
  </si>
  <si>
    <t>mohamedalinadifi@gmail.com</t>
  </si>
  <si>
    <t>212698470353</t>
  </si>
  <si>
    <t>H I N D A K L I</t>
  </si>
  <si>
    <t>akl.hind@gmail.com</t>
  </si>
  <si>
    <t>212694491604</t>
  </si>
  <si>
    <t>majraissam@gmail.com</t>
  </si>
  <si>
    <t>212661100470</t>
  </si>
  <si>
    <t>Mohamed soussi sadoq</t>
  </si>
  <si>
    <t>sadoqnotaire@hotmail.com</t>
  </si>
  <si>
    <t>212668424885</t>
  </si>
  <si>
    <t>Mouna Iraqi Housseini</t>
  </si>
  <si>
    <t>mouna_iraqi@hotmail.com</t>
  </si>
  <si>
    <t>212664666930</t>
  </si>
  <si>
    <t>Zakari</t>
  </si>
  <si>
    <t>zakari.latifa@gmil.com</t>
  </si>
  <si>
    <t>212675388425</t>
  </si>
  <si>
    <t>Marzoug Nezha</t>
  </si>
  <si>
    <t>Nmarzoug@marocfactoring.ma</t>
  </si>
  <si>
    <t>212678367521</t>
  </si>
  <si>
    <t>Nawal BRAHIMI</t>
  </si>
  <si>
    <t>RDV SAMEDI 10H</t>
  </si>
  <si>
    <t>nawalbrahimi99@gmail.com</t>
  </si>
  <si>
    <t>212666342570</t>
  </si>
  <si>
    <t>Ramssis Kingston</t>
  </si>
  <si>
    <t>salmanerma10@gmail.com</t>
  </si>
  <si>
    <t>212663343203</t>
  </si>
  <si>
    <t>Dental Spa by New Smile</t>
  </si>
  <si>
    <t>elomrani.amina9@gmail.com</t>
  </si>
  <si>
    <t>212614006770</t>
  </si>
  <si>
    <t>Mohamed Nabil Nabil</t>
  </si>
  <si>
    <t>chalazion@yahoo.fR</t>
  </si>
  <si>
    <t>212660620363</t>
  </si>
  <si>
    <t>Mohamed Mehdi</t>
  </si>
  <si>
    <t>RDV SAMEDI 10H FAUT LUI ENVOYER LA LOCA SUR WTSP</t>
  </si>
  <si>
    <t>Mazagan</t>
  </si>
  <si>
    <t>simohamedmehdi@gmail.com</t>
  </si>
  <si>
    <t>212665325659</t>
  </si>
  <si>
    <t>bouamain fatima</t>
  </si>
  <si>
    <t>Demande detre rappeler demain | Couple</t>
  </si>
  <si>
    <t>f.bouamain2000@gmail.com</t>
  </si>
  <si>
    <t>212661801443</t>
  </si>
  <si>
    <t>Omar Bouzza</t>
  </si>
  <si>
    <t>doesn't remember fomrulaire 4 ch zone califhabite centre ville - ferme bretonne jusqua bouskoura achat - villa ou appart budget max 5MD exp est sud ouest tres ensoleillee ; piscine si possible dans residence fermee, dar bouazza grandes arteres = discutable | Famille</t>
  </si>
  <si>
    <t>nicy77@hotmail.fr</t>
  </si>
  <si>
    <t>212615861663</t>
  </si>
  <si>
    <t>Mohamed Ben Lahcen</t>
  </si>
  <si>
    <t>mlaaroussi607@gmail.com</t>
  </si>
  <si>
    <t>212618397313</t>
  </si>
  <si>
    <t>Khalid Melloul</t>
  </si>
  <si>
    <t>ait.i3za.</t>
  </si>
  <si>
    <t>k92288895@gmail.com</t>
  </si>
  <si>
    <t>212632787018</t>
  </si>
  <si>
    <t>Sabrine Alaoui</t>
  </si>
  <si>
    <t>grinesabrine1@gmail.com</t>
  </si>
  <si>
    <t>212638349766</t>
  </si>
  <si>
    <t>No Ha</t>
  </si>
  <si>
    <t>fgyrt374@gmail.com</t>
  </si>
  <si>
    <t>212641439048</t>
  </si>
  <si>
    <t>يوسف يوسف</t>
  </si>
  <si>
    <t>طنجة</t>
  </si>
  <si>
    <t>nouhanona49@gmail.com</t>
  </si>
  <si>
    <t>212666475534</t>
  </si>
  <si>
    <t>Kamel Kamel</t>
  </si>
  <si>
    <t>33678667463</t>
  </si>
  <si>
    <t>Oukkate Rayess</t>
  </si>
  <si>
    <t>PLUS INTERESSEE</t>
  </si>
  <si>
    <t>soukkate@gmail.com</t>
  </si>
  <si>
    <t>212661337454</t>
  </si>
  <si>
    <t>Boutaina Bennani</t>
  </si>
  <si>
    <t>opticpourtous@gmail.com</t>
  </si>
  <si>
    <t>212665280121</t>
  </si>
  <si>
    <t>Abdou Azzouzi El Idrissi</t>
  </si>
  <si>
    <t>aema1984@gmail.com</t>
  </si>
  <si>
    <t>212670098497</t>
  </si>
  <si>
    <t>Aqdora Mounjiya</t>
  </si>
  <si>
    <t>merci de me transmettre le prix etlocalisation</t>
  </si>
  <si>
    <t>finances.ests@uca.ac.ma</t>
  </si>
  <si>
    <t>212661347752</t>
  </si>
  <si>
    <t>Naima Boujrada</t>
  </si>
  <si>
    <t>n.boujrada@gmail.com</t>
  </si>
  <si>
    <t>212661070224</t>
  </si>
  <si>
    <t>bouchra rokhsy</t>
  </si>
  <si>
    <t>rokhsyb@gmail.com</t>
  </si>
  <si>
    <t>212615660769</t>
  </si>
  <si>
    <t>Coin Féminin</t>
  </si>
  <si>
    <t>coinfeminin@gmail.com</t>
  </si>
  <si>
    <t>212649158143</t>
  </si>
  <si>
    <t>Samoura T</t>
  </si>
  <si>
    <t>tourkzisamira@gmail.com</t>
  </si>
  <si>
    <t>212664801611</t>
  </si>
  <si>
    <t>Lyacoubi</t>
  </si>
  <si>
    <t>Gobizgobizotte@gmail.com</t>
  </si>
  <si>
    <t>212614566183</t>
  </si>
  <si>
    <t>Samira Fakhri</t>
  </si>
  <si>
    <t>Immani@yahoo.fr</t>
  </si>
  <si>
    <t>212661259368</t>
  </si>
  <si>
    <t>Karima Boulahya</t>
  </si>
  <si>
    <t>karimaboulahya25@gmail.com</t>
  </si>
  <si>
    <t>675379599</t>
  </si>
  <si>
    <t>User133403615</t>
  </si>
  <si>
    <t>Malahous@gmail.com</t>
  </si>
  <si>
    <t>212661149020</t>
  </si>
  <si>
    <t>Hamid Mohmid</t>
  </si>
  <si>
    <t>mohben1969.casa@gmail.com</t>
  </si>
  <si>
    <t>212668453267</t>
  </si>
  <si>
    <t>Siham Benlarbi</t>
  </si>
  <si>
    <t>s.benlarbi@gmail.com</t>
  </si>
  <si>
    <t>212666420601</t>
  </si>
  <si>
    <t>Mehdi Lagnaoui</t>
  </si>
  <si>
    <t>mehdilagnaoui@gmail.com</t>
  </si>
  <si>
    <t>212618351391</t>
  </si>
  <si>
    <t>Btissam El</t>
  </si>
  <si>
    <t>sala eljadida</t>
  </si>
  <si>
    <t>btissamelhaddad1998@gmail.com</t>
  </si>
  <si>
    <t>212660763228</t>
  </si>
  <si>
    <t>wiam Laabi</t>
  </si>
  <si>
    <t>wiamlaabi84@gmail.com</t>
  </si>
  <si>
    <t>212612016533</t>
  </si>
  <si>
    <t>Othman hanine</t>
  </si>
  <si>
    <t>othman.hanine1@gmail.com</t>
  </si>
  <si>
    <t>212626641126</t>
  </si>
  <si>
    <t>حليمة بلة</t>
  </si>
  <si>
    <t>تازة</t>
  </si>
  <si>
    <t>h6000123@gmail.com</t>
  </si>
  <si>
    <t>212616701506</t>
  </si>
  <si>
    <t>Mohamed Labhar</t>
  </si>
  <si>
    <t>Villa Alhucemas</t>
  </si>
  <si>
    <t>mohamedlabhar6@gmail.com</t>
  </si>
  <si>
    <t>32471258032</t>
  </si>
  <si>
    <t>Hamiou Stephane</t>
  </si>
  <si>
    <t>Abidjan</t>
  </si>
  <si>
    <t>stephane201478@gmail.com</t>
  </si>
  <si>
    <t>212616123802</t>
  </si>
  <si>
    <t>Khaoula Aaguida</t>
  </si>
  <si>
    <t>Khaoulaaaguida56@gmail.com</t>
  </si>
  <si>
    <t>212638838083</t>
  </si>
  <si>
    <t>Romaissae Rayane</t>
  </si>
  <si>
    <t>imanebabalol@gmail.com</t>
  </si>
  <si>
    <t>212614332290</t>
  </si>
  <si>
    <t>mazin</t>
  </si>
  <si>
    <t>haytammazin@gmail.com</t>
  </si>
  <si>
    <t>212665642374</t>
  </si>
  <si>
    <t>Nassim Nassim</t>
  </si>
  <si>
    <t>eaglecobra.15@gmail.com</t>
  </si>
  <si>
    <t>212647316221</t>
  </si>
  <si>
    <t>Mostapha</t>
  </si>
  <si>
    <t>ghazimostapha37@gmail.com</t>
  </si>
  <si>
    <t>212718050944</t>
  </si>
  <si>
    <t>Mar Yam</t>
  </si>
  <si>
    <t>maryamda11@icloud.com</t>
  </si>
  <si>
    <t>212661247229</t>
  </si>
  <si>
    <t>Meryem Boussikouk</t>
  </si>
  <si>
    <t>mery.bouss@yahoo.com</t>
  </si>
  <si>
    <t>212656820820</t>
  </si>
  <si>
    <t>Mohammed Gourram</t>
  </si>
  <si>
    <t>gourram1985@gmail.com</t>
  </si>
  <si>
    <t>212672309364</t>
  </si>
  <si>
    <t>Loubna Khayar</t>
  </si>
  <si>
    <t>loubna.khayar@hotmail.fr</t>
  </si>
  <si>
    <t>212661348087</t>
  </si>
  <si>
    <t>Amine bennouna</t>
  </si>
  <si>
    <t>a.bennouna@axense.ma</t>
  </si>
  <si>
    <t>212654861123</t>
  </si>
  <si>
    <t>Faty Alaoui</t>
  </si>
  <si>
    <t>faty.alaoui5792@gmail.com</t>
  </si>
  <si>
    <t>212661603142</t>
  </si>
  <si>
    <t>Nezha Wafi</t>
  </si>
  <si>
    <t>Casablancs</t>
  </si>
  <si>
    <t>nezhaw@hotmail.com</t>
  </si>
  <si>
    <t>212661678837</t>
  </si>
  <si>
    <t>Hanaa Dassouli</t>
  </si>
  <si>
    <t>achat 3 ch, CFC, 3.5 ou 3.6 pas de nord e4tage pas de 1er ; doesn't remember remplir le formulaire | Famille</t>
  </si>
  <si>
    <t>hanaadassouli@hotmail.com</t>
  </si>
  <si>
    <t>212618530623</t>
  </si>
  <si>
    <t>RADOUA Fatima zahra</t>
  </si>
  <si>
    <t>fradoua@gmail.com</t>
  </si>
  <si>
    <t>212606613552</t>
  </si>
  <si>
    <t>Alaoui</t>
  </si>
  <si>
    <t>Moulay Chrif</t>
  </si>
  <si>
    <t>appel 24 02/ 2eme appel 25 02 ( boite vocal )</t>
  </si>
  <si>
    <t>amc.newlife25@gmail.com</t>
  </si>
  <si>
    <t>212689620217</t>
  </si>
  <si>
    <t>Boulaich</t>
  </si>
  <si>
    <t>Yousra</t>
  </si>
  <si>
    <t>boulaichyousra7@gmail.com</t>
  </si>
  <si>
    <t>212661200576</t>
  </si>
  <si>
    <t>Cohesiv-coach</t>
  </si>
  <si>
    <t>Houria</t>
  </si>
  <si>
    <t>coachhouria3@gmail.com</t>
  </si>
  <si>
    <t>212661233023</t>
  </si>
  <si>
    <t>Dehbi</t>
  </si>
  <si>
    <t>mdehbi.consult@gmail.com</t>
  </si>
  <si>
    <t>212648635688</t>
  </si>
  <si>
    <t>Yassmine</t>
  </si>
  <si>
    <t>yassminehadi2003@hotmail.com</t>
  </si>
  <si>
    <t>212650553585</t>
  </si>
  <si>
    <t>Jahar</t>
  </si>
  <si>
    <t>Oussama</t>
  </si>
  <si>
    <t>ae.oussama.jahhar@gmail.com</t>
  </si>
  <si>
    <t>212665311111</t>
  </si>
  <si>
    <t>Jaziri</t>
  </si>
  <si>
    <t>Zouhair</t>
  </si>
  <si>
    <t>Settat</t>
  </si>
  <si>
    <t>jaziricashplus@gmail.com</t>
  </si>
  <si>
    <t>212654135435</t>
  </si>
  <si>
    <t>Bidoud</t>
  </si>
  <si>
    <t>Nice</t>
  </si>
  <si>
    <t>amine.bidoud@gmail.com</t>
  </si>
  <si>
    <t>212625227657</t>
  </si>
  <si>
    <t>Hind</t>
  </si>
  <si>
    <t>Hidour.hind@gmail.com</t>
  </si>
  <si>
    <t>212699075778</t>
  </si>
  <si>
    <t>Ramdani</t>
  </si>
  <si>
    <t>Doja</t>
  </si>
  <si>
    <t>Berkan</t>
  </si>
  <si>
    <t>khadijaramdani9@gmail.com</t>
  </si>
  <si>
    <t>212644727272</t>
  </si>
  <si>
    <t>Boutaleb</t>
  </si>
  <si>
    <t>Ouidad</t>
  </si>
  <si>
    <t>ouidad.agiach@gmail.com</t>
  </si>
  <si>
    <t>212631341686</t>
  </si>
  <si>
    <t>Sk</t>
  </si>
  <si>
    <t>Khaoula</t>
  </si>
  <si>
    <t>khaoulasadik2002@gmail.com</t>
  </si>
  <si>
    <t>212670657026</t>
  </si>
  <si>
    <t>Hidaya</t>
  </si>
  <si>
    <t>najiamajidi51@gmail.com</t>
  </si>
  <si>
    <t>212671119263</t>
  </si>
  <si>
    <t>Oujidi</t>
  </si>
  <si>
    <t>Med</t>
  </si>
  <si>
    <t>med.oujidi@gmail.com</t>
  </si>
  <si>
    <t>212635794470</t>
  </si>
  <si>
    <t>Sarmi</t>
  </si>
  <si>
    <t>Bahia</t>
  </si>
  <si>
    <t>212630322953</t>
  </si>
  <si>
    <t>Maryoma</t>
  </si>
  <si>
    <t>212619334681</t>
  </si>
  <si>
    <t>Loukili</t>
  </si>
  <si>
    <t>Houda</t>
  </si>
  <si>
    <t>houda_loukili@hotmail.com</t>
  </si>
  <si>
    <t>212670959090</t>
  </si>
  <si>
    <t>Ninis</t>
  </si>
  <si>
    <t>mnninis04@gmail.com</t>
  </si>
  <si>
    <t>34613372021</t>
  </si>
  <si>
    <t>Taidi</t>
  </si>
  <si>
    <t>Barcelona</t>
  </si>
  <si>
    <t>taidi02@gmail.com</t>
  </si>
  <si>
    <t>212671753921</t>
  </si>
  <si>
    <t>Abderrahmane</t>
  </si>
  <si>
    <t>212655531651</t>
  </si>
  <si>
    <t>Abdlkrim Abdlkrim</t>
  </si>
  <si>
    <t>كازا</t>
  </si>
  <si>
    <t>abdekarimsmart@gmail.com</t>
  </si>
  <si>
    <t>212661393320</t>
  </si>
  <si>
    <t>Nassir Abdelali</t>
  </si>
  <si>
    <t>nassir.abdelali@hotmail.fr</t>
  </si>
  <si>
    <t>212661328921</t>
  </si>
  <si>
    <t>Fatouha Houwari</t>
  </si>
  <si>
    <t>gigistore68@gmail.com</t>
  </si>
  <si>
    <t>212661312182</t>
  </si>
  <si>
    <t>Atika Nek</t>
  </si>
  <si>
    <t>drissi.atika@gmail.com</t>
  </si>
  <si>
    <t>212635668986</t>
  </si>
  <si>
    <t>Amal Hidar</t>
  </si>
  <si>
    <t>boireaamal@gmail.com</t>
  </si>
  <si>
    <t>212676077806</t>
  </si>
  <si>
    <t>Mounaim El Ghazi</t>
  </si>
  <si>
    <t>mounaim737@gmail.com</t>
  </si>
  <si>
    <t>212535730611</t>
  </si>
  <si>
    <t>Guessous Najib</t>
  </si>
  <si>
    <t>najib.guessous@usmba.ac.ma</t>
  </si>
  <si>
    <t>212661102139</t>
  </si>
  <si>
    <t>houdabenla@hotmail.com</t>
  </si>
  <si>
    <t>212611264732</t>
  </si>
  <si>
    <t>Ayoub Lozan Lozan</t>
  </si>
  <si>
    <t>ayoublozan01@gmail.com</t>
  </si>
  <si>
    <t>212618084317</t>
  </si>
  <si>
    <t>Mounia Dakane Ibenchekroun</t>
  </si>
  <si>
    <t>mounia.dkn@hotmail.fr</t>
  </si>
  <si>
    <t>212661189055</t>
  </si>
  <si>
    <t>Othmane Houbri</t>
  </si>
  <si>
    <t>No answer sent whatsapp | Couple</t>
  </si>
  <si>
    <t>othmane.houbri@gmail.com</t>
  </si>
  <si>
    <t>212661198789</t>
  </si>
  <si>
    <t>Nisrine Bendahou</t>
  </si>
  <si>
    <t>nisrine2013@icloud.com</t>
  </si>
  <si>
    <t>212655253254</t>
  </si>
  <si>
    <t>Karim Mounaouir</t>
  </si>
  <si>
    <t>karim.mounaouir@gmail.com</t>
  </si>
  <si>
    <t>212634551989</t>
  </si>
  <si>
    <t>Fency Fency</t>
  </si>
  <si>
    <t>212661150061</t>
  </si>
  <si>
    <t>Issam Kamil</t>
  </si>
  <si>
    <t>kamil.issam.pro@gmail.com</t>
  </si>
  <si>
    <t>33661919197</t>
  </si>
  <si>
    <t>Jad Bmr</t>
  </si>
  <si>
    <t>Cluj-Napoca</t>
  </si>
  <si>
    <t>jadmed1907@gmail.com</t>
  </si>
  <si>
    <t>212663290588</t>
  </si>
  <si>
    <t>Zineb Haimeur</t>
  </si>
  <si>
    <t>zhaimeur@gmail.com</t>
  </si>
  <si>
    <t>212661165688</t>
  </si>
  <si>
    <t>Benkirane Mariem</t>
  </si>
  <si>
    <t>mary_benkirane@hotmail.com</t>
  </si>
  <si>
    <t>212651840834</t>
  </si>
  <si>
    <t>Takfout Fatima Zahra PK</t>
  </si>
  <si>
    <t>elle veut un appart sur agadir budget 1,2M</t>
  </si>
  <si>
    <t>takfout.fatimazahra@gmail.com</t>
  </si>
  <si>
    <t>212642992829</t>
  </si>
  <si>
    <t>Nouhayla</t>
  </si>
  <si>
    <t>Nouhailabenadim.com@gmail.com</t>
  </si>
  <si>
    <t>212680986933</t>
  </si>
  <si>
    <t>mehdi sninira</t>
  </si>
  <si>
    <t>imanerachchag1994@gmail.com</t>
  </si>
  <si>
    <t>212700128149</t>
  </si>
  <si>
    <t>Ahlam Mahfoud</t>
  </si>
  <si>
    <t>Melloussa</t>
  </si>
  <si>
    <t>rojacereza148@gmail.com</t>
  </si>
  <si>
    <t>212666435287</t>
  </si>
  <si>
    <t>محمد واعمرو</t>
  </si>
  <si>
    <t>ouaamaro@gmail.com</t>
  </si>
  <si>
    <t>212777410000</t>
  </si>
  <si>
    <t>Igounfer Abderrahim</t>
  </si>
  <si>
    <t>abdo.fanix@gmail.com</t>
  </si>
  <si>
    <t>212663723770</t>
  </si>
  <si>
    <t>bien situe oriente lumiere, 3ch , a l;etage, pas de souci budget coup de coeur visite journee jeudi | Couple</t>
  </si>
  <si>
    <t>alamisophia@hotmail.com</t>
  </si>
  <si>
    <t>212623383587</t>
  </si>
  <si>
    <t>Badr Deani</t>
  </si>
  <si>
    <t>badr.deani@outlook.fr</t>
  </si>
  <si>
    <t>32478015885</t>
  </si>
  <si>
    <t>Hasan</t>
  </si>
  <si>
    <t>ninobrownnino@yahoo.co.uk</t>
  </si>
  <si>
    <t>212661077980</t>
  </si>
  <si>
    <t>Abdallah Belghiti Alaoui</t>
  </si>
  <si>
    <t>Il cherche a Rabat, appartement temara, budget 4,500max, ensoleillement tres important, Hassan ou Temara plage | 1 personne</t>
  </si>
  <si>
    <t>belghitiabel@yahoo.fr</t>
  </si>
  <si>
    <t>212611625537</t>
  </si>
  <si>
    <t>Kabira Koudia</t>
  </si>
  <si>
    <t>kabirakoudia78@gmail.com</t>
  </si>
  <si>
    <t>212722300835</t>
  </si>
  <si>
    <t>Ilyass Taoufiky</t>
  </si>
  <si>
    <t>Ilyasstaoufiky@gmail.com</t>
  </si>
  <si>
    <t>212614509589</t>
  </si>
  <si>
    <t>Nad Kalbfuss</t>
  </si>
  <si>
    <t>nadia_b.k@hotmail.fr</t>
  </si>
  <si>
    <t>212667478484</t>
  </si>
  <si>
    <t>Souad Laklaty</t>
  </si>
  <si>
    <t>souadlaklaty@gmail.com</t>
  </si>
  <si>
    <t>212672248968</t>
  </si>
  <si>
    <t>Søù Fãïnê</t>
  </si>
  <si>
    <t>soufaineahadouche17@gmail.com</t>
  </si>
  <si>
    <t>212607980979</t>
  </si>
  <si>
    <t>Mustapha Mrani</t>
  </si>
  <si>
    <t>mranimustapha185@gmail.com</t>
  </si>
  <si>
    <t>212651908295</t>
  </si>
  <si>
    <t>Tariq Abdellah</t>
  </si>
  <si>
    <t>Taghazout</t>
  </si>
  <si>
    <t>appartement lhjajma</t>
  </si>
  <si>
    <t>tariqabdalah80@gmail.com</t>
  </si>
  <si>
    <t>212673423262</t>
  </si>
  <si>
    <t>Jalal Dabbarh</t>
  </si>
  <si>
    <t>Ouazzane</t>
  </si>
  <si>
    <t>jalaldabagh174@gmail.com</t>
  </si>
  <si>
    <t>212661739897</t>
  </si>
  <si>
    <t>Leila Serar</t>
  </si>
  <si>
    <t>Leila.serar@gmail.com</t>
  </si>
  <si>
    <t>212679073909</t>
  </si>
  <si>
    <t>Morad Kadissi</t>
  </si>
  <si>
    <t>kenitra</t>
  </si>
  <si>
    <t>moradrook@live.fr</t>
  </si>
  <si>
    <t>212619740814</t>
  </si>
  <si>
    <t>Soukayna Caoucabi</t>
  </si>
  <si>
    <t>soukaynacaoucabi@hotmail.com</t>
  </si>
  <si>
    <t>212662312913</t>
  </si>
  <si>
    <t>Naima Arsalane</t>
  </si>
  <si>
    <t>arsalane.khalifa@gmail.com</t>
  </si>
  <si>
    <t>212698062042</t>
  </si>
  <si>
    <t>Maryam Touir</t>
  </si>
  <si>
    <t>maryamtouir719@gmail.com</t>
  </si>
  <si>
    <t>212693690211</t>
  </si>
  <si>
    <t>Kassoumi Najiba</t>
  </si>
  <si>
    <t>Najibaoji@gmail.com</t>
  </si>
  <si>
    <t>212663754241</t>
  </si>
  <si>
    <t>Imad Elkinani</t>
  </si>
  <si>
    <t>kabmarocsarl@gmail.com</t>
  </si>
  <si>
    <t>212610309180</t>
  </si>
  <si>
    <t>Laila Aziz</t>
  </si>
  <si>
    <t>zoharaziz12341234@gmail.com</t>
  </si>
  <si>
    <t>212700024993</t>
  </si>
  <si>
    <t>Snoussi Hamid</t>
  </si>
  <si>
    <t>snoussihamid2@gmal.com</t>
  </si>
  <si>
    <t>212607474586</t>
  </si>
  <si>
    <t>AMINA KHAYOUR</t>
  </si>
  <si>
    <t>Khayouramina9@gmail.com</t>
  </si>
  <si>
    <t>212654612903</t>
  </si>
  <si>
    <t>Hafida Msaad</t>
  </si>
  <si>
    <t>212600000000</t>
  </si>
  <si>
    <t>Sou Kèna</t>
  </si>
  <si>
    <t>ssou433@gmail.com</t>
  </si>
  <si>
    <t>212661290259</t>
  </si>
  <si>
    <t>Jami Bdr</t>
  </si>
  <si>
    <t>bouderkajamila1@gmail.com</t>
  </si>
  <si>
    <t>212620846655</t>
  </si>
  <si>
    <t>Zakaria Touil</t>
  </si>
  <si>
    <t>win-red00@live.fr</t>
  </si>
  <si>
    <t>212660108192</t>
  </si>
  <si>
    <t>Simo Abousaouira</t>
  </si>
  <si>
    <t>m.abousaouira@gmail.com</t>
  </si>
  <si>
    <t>212661529733</t>
  </si>
  <si>
    <t>Casagrande</t>
  </si>
  <si>
    <t>Ilda</t>
  </si>
  <si>
    <t>cherche a cote de sindibad 4MD</t>
  </si>
  <si>
    <t>ildacasagrande@hotmail.com</t>
  </si>
  <si>
    <t>212663842178</t>
  </si>
  <si>
    <t>Elkadili</t>
  </si>
  <si>
    <t>elkadili.soufiane@gmail.com</t>
  </si>
  <si>
    <t>212661118157</t>
  </si>
  <si>
    <t>Mouhcine Tazi</t>
  </si>
  <si>
    <t>Essaye dappeler mais ca reponds pas</t>
  </si>
  <si>
    <t>mouhcinetz@hotmail.fr</t>
  </si>
  <si>
    <t>212673698919</t>
  </si>
  <si>
    <t>laila oulad kasem</t>
  </si>
  <si>
    <t>Appel sans reponse - follow up whatsapp, toujours pas de reponse, tentative dappel 2x | Famille</t>
  </si>
  <si>
    <t>achlil.talkas@gmail.com</t>
  </si>
  <si>
    <t>212663804201</t>
  </si>
  <si>
    <t>Anasse Bennouk</t>
  </si>
  <si>
    <t>bennouk.anasse@gmail.com</t>
  </si>
  <si>
    <t>212633216980</t>
  </si>
  <si>
    <t>Montsir Warga</t>
  </si>
  <si>
    <t>Kawtar slimani</t>
  </si>
  <si>
    <t>montassiryafi@gmail.com</t>
  </si>
  <si>
    <t>212661350216</t>
  </si>
  <si>
    <t>E.D</t>
  </si>
  <si>
    <t>Driss@sigmatechno.com</t>
  </si>
  <si>
    <t>212661238384</t>
  </si>
  <si>
    <t>Najat El Kalai</t>
  </si>
  <si>
    <t>elkalainajat@hotmail.com</t>
  </si>
  <si>
    <t>212660154881</t>
  </si>
  <si>
    <t>Sanaa Kandri Idrissi</t>
  </si>
  <si>
    <t>sanaakandri@gmail.com</t>
  </si>
  <si>
    <t>212633197917</t>
  </si>
  <si>
    <t>Meriem choukri</t>
  </si>
  <si>
    <t>REP PAS</t>
  </si>
  <si>
    <t>mehdiihssane4@gmail.com</t>
  </si>
  <si>
    <t>212652379879</t>
  </si>
  <si>
    <t>Amine AGUERT</t>
  </si>
  <si>
    <t>salé</t>
  </si>
  <si>
    <t>amine.aguert@hotmail.fr</t>
  </si>
  <si>
    <t>212662792039</t>
  </si>
  <si>
    <t>Jala Salki</t>
  </si>
  <si>
    <t>cafejalalsalki@gmail.com</t>
  </si>
  <si>
    <t>212666414855</t>
  </si>
  <si>
    <t>Amine Oubelahcen</t>
  </si>
  <si>
    <t>Temara</t>
  </si>
  <si>
    <t>amineoubelahcen@gmail.com</t>
  </si>
  <si>
    <t>212661371347</t>
  </si>
  <si>
    <t>Saad Norddine</t>
  </si>
  <si>
    <t>archisaad1@yahoo.fr</t>
  </si>
  <si>
    <t>212660020395</t>
  </si>
  <si>
    <t>Hasnaa Hajji</t>
  </si>
  <si>
    <t>hasnaa-hajji@hotmail.com</t>
  </si>
  <si>
    <t>212661320648</t>
  </si>
  <si>
    <t>dahmani mustafa</t>
  </si>
  <si>
    <t>mestafadahmani02@gmail.com</t>
  </si>
  <si>
    <t>212630744168</t>
  </si>
  <si>
    <t>khadij_a</t>
  </si>
  <si>
    <t>elmourchidikhadija.96@gmail.com</t>
  </si>
  <si>
    <t>212661170277</t>
  </si>
  <si>
    <t>Zakaria Douail</t>
  </si>
  <si>
    <t>Budget 6,7 Millions. Il veut villa bouskoura, ville verte, ain diab, ain diab extension</t>
  </si>
  <si>
    <t>z.douail@gmail.com</t>
  </si>
  <si>
    <t>212663427890</t>
  </si>
  <si>
    <t>Ibtissam Ben</t>
  </si>
  <si>
    <t>Faut lui envoyer les infos sur wtsp</t>
  </si>
  <si>
    <t>marrakech</t>
  </si>
  <si>
    <t>ibtissamktb659@gmail.com</t>
  </si>
  <si>
    <t>212661587347</t>
  </si>
  <si>
    <t>Iken Naoual</t>
  </si>
  <si>
    <t>iken_naoual@yahoo.fr</t>
  </si>
  <si>
    <t>212661714824</t>
  </si>
  <si>
    <t>Imane Idrisi</t>
  </si>
  <si>
    <t>imane.idrisi@gmail.com</t>
  </si>
  <si>
    <t>212644149577</t>
  </si>
  <si>
    <t>Samia</t>
  </si>
  <si>
    <t>Rep pas</t>
  </si>
  <si>
    <t>samia.archi.kabil@gmail.com</t>
  </si>
  <si>
    <t>212659035995</t>
  </si>
  <si>
    <t>Sabra Kobido</t>
  </si>
  <si>
    <t>sabraammor@yahoo.fr</t>
  </si>
  <si>
    <t>212661360059</t>
  </si>
  <si>
    <t>اسماعيل الطايع</t>
  </si>
  <si>
    <t>tayaamoulayismail@gmail.com</t>
  </si>
  <si>
    <t>33753564730</t>
  </si>
  <si>
    <t>Mohamed Amine Adhaim</t>
  </si>
  <si>
    <t>amine_adhaim@hotmail.com</t>
  </si>
  <si>
    <t>212662094675</t>
  </si>
  <si>
    <t>selhankour@yahoo.fr</t>
  </si>
  <si>
    <t>212661297812</t>
  </si>
  <si>
    <t>Anissa Achaachi</t>
  </si>
  <si>
    <t>a.achaachi11@gmail.com</t>
  </si>
  <si>
    <t>212661296196</t>
  </si>
  <si>
    <t>Mohammed Sentissi</t>
  </si>
  <si>
    <t>mohmmedsentissi55@gmail.com</t>
  </si>
  <si>
    <t>212661472428</t>
  </si>
  <si>
    <t>Benazouz</t>
  </si>
  <si>
    <t>Sara</t>
  </si>
  <si>
    <t>benazouzsara@gmail.com</t>
  </si>
  <si>
    <t>212663533543</t>
  </si>
  <si>
    <t>Oumzaineb</t>
  </si>
  <si>
    <t>Rachida</t>
  </si>
  <si>
    <t>hamilirach2002@gmail.com</t>
  </si>
  <si>
    <t>212769731449</t>
  </si>
  <si>
    <t>Sefiani</t>
  </si>
  <si>
    <t>Villeneuve-d'Ascq</t>
  </si>
  <si>
    <t>sefianibahia@gmail.com</t>
  </si>
  <si>
    <t>212672241618</t>
  </si>
  <si>
    <t>Fatima Ezzahra</t>
  </si>
  <si>
    <t>elangrafatimaezzahra@gmail.com</t>
  </si>
  <si>
    <t>212661091303</t>
  </si>
  <si>
    <t>Benmansour</t>
  </si>
  <si>
    <t>Nezha</t>
  </si>
  <si>
    <t>docbenmansour@yahoo.fr</t>
  </si>
  <si>
    <t>212667339985</t>
  </si>
  <si>
    <t>Bakkali Kasmi</t>
  </si>
  <si>
    <t>Mariem</t>
  </si>
  <si>
    <t>bakkali.mariem1@gmail.com</t>
  </si>
  <si>
    <t>212661257454</t>
  </si>
  <si>
    <t>Aouani</t>
  </si>
  <si>
    <t>aouaniyassine@gmail.com</t>
  </si>
  <si>
    <t>212665893133</t>
  </si>
  <si>
    <t>Baghanou</t>
  </si>
  <si>
    <t>baghanoumohammed362@gmail.com</t>
  </si>
  <si>
    <t>212661771702</t>
  </si>
  <si>
    <t>Ratiba</t>
  </si>
  <si>
    <t>Ratibajan@gmail.com</t>
  </si>
  <si>
    <t>212661416351</t>
  </si>
  <si>
    <t>Berrada</t>
  </si>
  <si>
    <t>Houriya</t>
  </si>
  <si>
    <t>houriya_fathi@hotmail.com</t>
  </si>
  <si>
    <t>212661566151</t>
  </si>
  <si>
    <t>Asma</t>
  </si>
  <si>
    <t>asma.bensmail@gmail.com</t>
  </si>
  <si>
    <t>212661121546</t>
  </si>
  <si>
    <t>Khayr</t>
  </si>
  <si>
    <t>Madiha</t>
  </si>
  <si>
    <t>DM INSTA, cherche a vendre sa villa et elle est tres interesse a acheter une villa dans la ville verte bouskoura</t>
  </si>
  <si>
    <t>2MD</t>
  </si>
  <si>
    <t>212633958352</t>
  </si>
  <si>
    <t>Jihane</t>
  </si>
  <si>
    <t>DM insta</t>
  </si>
  <si>
    <t>212661190018</t>
  </si>
  <si>
    <t>Ilham</t>
  </si>
  <si>
    <t>DM INSTA</t>
  </si>
  <si>
    <t>VV-004</t>
  </si>
  <si>
    <t>212657771054</t>
  </si>
  <si>
    <t>DM INSTA (Recherche studio, budget 800K-850K)</t>
  </si>
  <si>
    <t>212668794577</t>
  </si>
  <si>
    <t>Kanouni</t>
  </si>
  <si>
    <t>Karam</t>
  </si>
  <si>
    <t>Famille, (DM INSTA, budget 5500 avec parking asc 2 chambres min, val fleury socrate oasis beausejour)</t>
  </si>
  <si>
    <t>212673599597</t>
  </si>
  <si>
    <t>Firdaous</t>
  </si>
  <si>
    <t>Dm insta (elle demande des infos concernant la loca de studio meublé) | 1_personne</t>
  </si>
  <si>
    <t>Studio meublé</t>
  </si>
  <si>
    <t>212700373737</t>
  </si>
  <si>
    <t>dm insta</t>
  </si>
  <si>
    <t>Villa ain diab ou CIL</t>
  </si>
  <si>
    <t>212662165705</t>
  </si>
  <si>
    <t>Ait</t>
  </si>
  <si>
    <t>Bouchra</t>
  </si>
  <si>
    <t>📌 GUIDE RAPIDE — WeHome Leads</t>
  </si>
  <si>
    <t>FILTRER LES URGENTS</t>
  </si>
  <si>
    <t>Urgence = 🔥</t>
  </si>
  <si>
    <t>Leads qui veulent acheter/louer immédiatement</t>
  </si>
  <si>
    <t>Catégorie</t>
  </si>
  <si>
    <t>Achat / Location / Vente...</t>
  </si>
  <si>
    <t>Agent = vide</t>
  </si>
  <si>
    <t>Leads pas encore pris par quelqu'un</t>
  </si>
  <si>
    <t>📝 = ✅</t>
  </si>
  <si>
    <t>Leads avec des infos — lire avant d'appeler</t>
  </si>
  <si>
    <t>Statut = 🔄</t>
  </si>
  <si>
    <t>Mes leads en cours</t>
  </si>
  <si>
    <t>PRENDRE UN LEAD</t>
  </si>
  <si>
    <t>1. Agent</t>
  </si>
  <si>
    <t>Tape : Karim Zniber / Oumaima / Basma</t>
  </si>
  <si>
    <t>2. Statut</t>
  </si>
  <si>
    <t>Change → 🔄 En cours</t>
  </si>
  <si>
    <t>3. Notes</t>
  </si>
  <si>
    <t>Budget, quartier, remarques</t>
  </si>
  <si>
    <t>4. Dernière relance</t>
  </si>
  <si>
    <t>Date après chaque appel/message</t>
  </si>
  <si>
    <t>5. Prochain RDV</t>
  </si>
  <si>
    <t>Si RDV fixé</t>
  </si>
  <si>
    <t>URGENCE</t>
  </si>
  <si>
    <t>Maintenant</t>
  </si>
  <si>
    <t>Court terme</t>
  </si>
  <si>
    <t>Moyen terme</t>
  </si>
  <si>
    <t>À relancer</t>
  </si>
  <si>
    <t>Pas urgent</t>
  </si>
  <si>
    <t>STATUTS</t>
  </si>
  <si>
    <t>Pas contacté</t>
  </si>
  <si>
    <t>Deal actif</t>
  </si>
  <si>
    <t>✅ Gagné</t>
  </si>
  <si>
    <t>Signé !</t>
  </si>
  <si>
    <t>Ne donnera pas suite</t>
  </si>
  <si>
    <t>WEHOME / WEOFFICE — PORTEFEUILLE BIENS   |   46 biens   |   ID Bien = référence à copier dans les leads</t>
  </si>
  <si>
    <t>Pour lier un lead à un bien : copier l'ID Bien (ex: VV-001) dans la colonne 'ID Bien' du lead   |   Cliquer sur 🔗 pour ouvrir les photos Canva</t>
  </si>
  <si>
    <t>Type</t>
  </si>
  <si>
    <t>Transaction</t>
  </si>
  <si>
    <t>Localisation</t>
  </si>
  <si>
    <t>Prix</t>
  </si>
  <si>
    <t>Surface</t>
  </si>
  <si>
    <t>Meublé</t>
  </si>
  <si>
    <t>Chambres</t>
  </si>
  <si>
    <t>Salons</t>
  </si>
  <si>
    <t>SDB</t>
  </si>
  <si>
    <t>Etage</t>
  </si>
  <si>
    <t>Facilité vente</t>
  </si>
  <si>
    <t>Agent responsable</t>
  </si>
  <si>
    <t>📸 Photos pro</t>
  </si>
  <si>
    <t>📷 Anciennes photos</t>
  </si>
  <si>
    <t>Descriptif</t>
  </si>
  <si>
    <t>Notes</t>
  </si>
  <si>
    <t>Propriétaire</t>
  </si>
  <si>
    <t>VV-001</t>
  </si>
  <si>
    <t>CIL</t>
  </si>
  <si>
    <t>16 500 000 dh</t>
  </si>
  <si>
    <t>649 m²</t>
  </si>
  <si>
    <t>Non Meublé</t>
  </si>
  <si>
    <t>3 niveaux</t>
  </si>
  <si>
    <t>MOYENNE</t>
  </si>
  <si>
    <t>En cours</t>
  </si>
  <si>
    <t>🔗 Voir photos</t>
  </si>
  <si>
    <t xml:space="preserve">  https://www.canva.com/design/DAG-aBBr96U/4y-qyycgVXHyulUBGhBjEw/view?utm_content=DAG-aBBr96U&amp;utm_campaign=designshare&amp;utm_medium=link2&amp;utm_source=uniquelinks&amp;utlId=h817bab6f20</t>
  </si>
  <si>
    <t>CIL
Villa de 649m2 A vendre
Orientation: Sud/ouest
3 Niveau
-RDC
Triple salons, Sejour, salle de bain
-L'ETAGE
4 chambres à coucher Dont 2 suite
2salle de bain
-SOUS SOL
Cuisine, avec chambre de service
Acces garage
Chambre gardien
-PISCINE</t>
  </si>
  <si>
    <t>VV-002</t>
  </si>
  <si>
    <t>Florida</t>
  </si>
  <si>
    <t>12000dh/m</t>
  </si>
  <si>
    <t>1145m2</t>
  </si>
  <si>
    <t>MOYENNE (à lancer)</t>
  </si>
  <si>
    <t>3niveau 
Ss : 2ch avc sdb 
Hamam beldi 
Installation technique chauffage central 
Garage pour 5voiture
Rc: 3salon dont 1 beldi 
2terrasse, une grande cuisine avec terrasse , toilettes pour inviter 
L’étage : 1 suite parentale avec dressing et sdb avc jacuzzi baignoire et douche
4 chambre indépendante 
2 salle de bain</t>
  </si>
  <si>
    <t>VV-003</t>
  </si>
  <si>
    <t>CGI Bouskoura</t>
  </si>
  <si>
    <t>16 500 000 MAD</t>
  </si>
  <si>
    <t>1080 m²</t>
  </si>
  <si>
    <t>1 niveau</t>
  </si>
  <si>
    <t>ELEVEE</t>
  </si>
  <si>
    <t>🌿 Villa d’exception – CGI Bouskoura | Front Golf ⛳️
Offrez-vous un cadre de vie unique, au cœur de CGI Bouskoura, avec une vue directe sur le golf, sans aucun vis-à-vis, dans un environnement calme et ultra-privilégié.
🏡 Superficie du terrain : 1 080 m²
🔹 Rez-de-chaussée :
• 4 suites élégantes (chambre + salle de bain)
• Cuisine fonctionnelle et bien agencée
🔹 À l’étage :
• 3 salons lumineux aux volumes généreux
• 1 espace salle à manger
• 4 suites supplémentaires (chambre + salle de bain)
• Cuisine indépendante
✨ Une villa idéale pour grande famille, résidence de prestige ou projet haut standing, alliant espace, intimité et vue imprenable sur le golf.
💰 Prix : 16 500 000 DH</t>
  </si>
  <si>
    <t>Ain Diab</t>
  </si>
  <si>
    <t>15 000 000 dh</t>
  </si>
  <si>
    <t>600 m²</t>
  </si>
  <si>
    <t>2 niveaux</t>
  </si>
  <si>
    <t>Magnifique villa de luxe à vendre ou louer
Superficie terrain: 600m2 
Située dans un quartier très calme et sécurisé à Ain Diab, à seulement quelques minutes du Morocco Mal
Le bien offre :
4 chambres spacieuses
3 salons lumineux
Un espace salle à manger
4 salles de bain
Un beau jardin privé avec piscine
Finition haut standing
• Prix de vente : 15 000 000 Dhs
Ou bien location 
Prix: 80,000dh</t>
  </si>
  <si>
    <t>VV-005</t>
  </si>
  <si>
    <t>Dar Bouazza</t>
  </si>
  <si>
    <t xml:space="preserve"> 3 750 000 dh</t>
  </si>
  <si>
    <t>212  m²</t>
  </si>
  <si>
    <t>Villa de 218m2 composée comme suit : 
- sous sol : chambre de personnel, salle de bain, garage, hall
- ⁠rez de chausée (porte principale): hall d’entrée, sejour ouvert, coin salle a manger, cuisine équipée, salle de bain invitée, salon marocain, double salon europeen, terrasse avec piscine privative, jardin aménagé
- ⁠etage: hall central, suite parentale avec dressing salle de bain et terrasse, suite junior avec salle de bain et baie vitrée, 2 grandes chambres dans une avec balcon, salle de bains
- ⁠terrasse : accessible et privative
Prix : 3.750.000 dhs</t>
  </si>
  <si>
    <t>VV-006</t>
  </si>
  <si>
    <t>Oued Merzegu</t>
  </si>
  <si>
    <t>9 Mdh</t>
  </si>
  <si>
    <t xml:space="preserve"> • Surface terrain : 608 m²
 • Surface habitable : 540m²</t>
  </si>
  <si>
    <t>Très belle  villa d’exception Angle à oued merzegu Les Jardins de l’Océan
vous propose à la vente une villa indépendante à 3 façades, idéalement située dans le quartier prisé Les Jardins de l’Océan, à deux pas de la mer, des commerces et des espaces verts de qualité.
Caractéristiques principales
 • Surface terrain : 608 m²
 • Surface habitable : 540m² 
           sur 3 niveaux
 • Âge du bien : 2 ans
 • Orientation : Sud‑Est
Distribution des pièces
 • 4 suites parentales (toutes 
           avec dressing et salle de bains    
           privative)
 • Triple salon ouvert sur terrasses 
            ensoleillées
 • Suite parentale avec dressing, 
           salle de bain et double terrasse
 • Chambre de personnel 
           indépendante
Équipements &amp; prestations haut 
de gamme
- chauffe eau
Chauffe solaire
- Clim centrale 
 • Piscine à débordement
 • Chauffage central &amp; climatisation 
           réversible
 • Isolation thermique et phonique
 • Double vitrage
 • Sanitaires « intelligents »
 • Cheminée design
 • Cuisine entièrement équipée
 • Grand jardin paysager
 • Garage spacieux + nombreux 
           rangements</t>
  </si>
  <si>
    <t>VV-007</t>
  </si>
  <si>
    <t>5 400 000 dh 5.2 MD</t>
  </si>
  <si>
    <t>490 m²</t>
  </si>
  <si>
    <t>Une belle Villa Jumeler moderne
En vente
Superficie: 490m2 sur 3 niveaux 
- ⁠RC
Double salon 
Séjour 
Salle de bain 
Cuisine 
Pergola Donne sur piscine 
Pisigne et jardin 
- l’étage 
une suite parentale 
Et une suite junior
2 chambres Avec leur salle de bain
- ⁠- ⁠Cave 
Chambre Dressing
Chambre de personnel 
Un debarat
Garage
Terrasse vue mer
Prix: 5,400,000dh</t>
  </si>
  <si>
    <t>us</t>
  </si>
  <si>
    <t>VV-008</t>
  </si>
  <si>
    <t>Ferme à villa</t>
  </si>
  <si>
    <t>Bir Jedid</t>
  </si>
  <si>
    <t>4 400 000 dh</t>
  </si>
  <si>
    <t>1 Hectare</t>
  </si>
  <si>
    <t>Ferme 1 Hectare 
Villa de 500m2 avec piscine, et puit 
Prix: 4,400,000dh</t>
  </si>
  <si>
    <t>VL-001</t>
  </si>
  <si>
    <t>Californie</t>
  </si>
  <si>
    <t>60 000 MAD/mois</t>
  </si>
  <si>
    <t>1150 m²</t>
  </si>
  <si>
    <t>Californie - Location d’une magnifique villa de 550 m² habitables et 600 m² de terrain sur 4 niveaux - 3 chambres - 3 salles de bains - Piscine intégrée au salon - Exposition Sud-Ouest
Produit exceptionnel – Rare sur le marché  
Au rez de chaussée : 
- Réception avec plusieurs volumes en baie vitrée
- La piscine qui passe sous une partie vitrée du sol de la réception
- Une Salle d’eau invités double vasque - Une Cuisine moderne 100% équipée avec îlot central
 A l’étage : 
- La suite parentale composée d’une grande chambre à coucher avec terrasse, d’une salle de bain avec baignoire et douche ainsi qu’un dressing - Deux junior suites composée chacune d’une chambre à coucher avec balcon, placards et salle de bain. 
Au sous-sol : 
- Grande chambre à coucher en cour anglaise avec salle de bain - La chambre du personnel avec salle d’eau
- Hammam Beldi - Garage couvert  
- La villa bénéficie d’un Chauffage central et d’une climatisation gainée réversible dans toutes les pièces - Parquet massif dans les chambres
- Système de vidéo surveillance - Finitions de très haut standing - Proximité de l’école américaine (C.A.S)  
Prix: 60 000dh/mois
📍Casablanca, Californie</t>
  </si>
  <si>
    <t>Penthouse</t>
  </si>
  <si>
    <t>Ferme Bretonne</t>
  </si>
  <si>
    <t>19 000 dh</t>
  </si>
  <si>
    <t>125 m²</t>
  </si>
  <si>
    <t>4eme étage 
Grand salon 
Cuisine américaine ouverte 
2chambre à coucher dont une suite parentale 
2 salle de bain</t>
  </si>
  <si>
    <t>PL-002</t>
  </si>
  <si>
    <t>100 000dh/mois</t>
  </si>
  <si>
    <t>450 m²</t>
  </si>
  <si>
    <t>Penthouse à louer meublé à Ain Diab 
* grande cuisine avec balcon
* ⁠2 salon spacieux 
* ⁠ une suite parentale
* ⁠ salle d’eau pour les invités
* ⁠ grand terrasse, double façade
À l’étage  : 
* séjour
* ⁠ salle de bain
* ⁠3 suites avec dressing et salle de bain 
Pour la location longue durée 
100.000 Dhs</t>
  </si>
  <si>
    <t>Appartement</t>
  </si>
  <si>
    <t>Route d‘Azemmour</t>
  </si>
  <si>
    <t xml:space="preserve"> 3 750 000,00 DH</t>
  </si>
  <si>
    <t>188 m2</t>
  </si>
  <si>
    <t>🏘️Avendre Appartement de Luxe en Front de Mer sur la route d'Azemmour 
Nous vous proposons un magnifique appartement de standing situé en front de mer, offrant une vue imprenable sur l'océan.
✅Caractéristiques
188 m2 de Superficie généreuse avec ✅3chambres, dont 1 chambre parentale avec dressing
✅2 salons spacieux pour recevoir vos invités
Balcon avec vue panoramique sur la mer pour profiter des moments de détente
✅3 salles de bains pour un confort optimal
✅Cuisine équipée pour préparer vos repas favoris
Petite chambre avec salle d'eau pour femme de ménage
🚕2 places de parking au garage pour votre commodité
🗃️box au garage 
💰prix 3 750 000,00 DH
📍Localisation
Situé en front de mer, cet appartement offre une vue unique sur l'océan et profite d'une localisation privilégié à cinq minutes de Morocco Mall</t>
  </si>
  <si>
    <t>AV-002</t>
  </si>
  <si>
    <t>Roches noires</t>
  </si>
  <si>
    <t>1 190 000 dh</t>
  </si>
  <si>
    <t>129 m2</t>
  </si>
  <si>
    <t>BOF</t>
  </si>
  <si>
    <t>appartement de 129 m2 a vendre, quartier Roches Noires Casablanca, bien ensoleillé, composé de :
Cuisine avec balcon, 
Double salons + hall; Séjour; 
Une suite parentale avec salle de bain, dressing, et balcon;
Chambre d’enfant;
Salle de bain avec douche;
Salle d eau pour invité;
Place au garage
2 ascenseurs.
Immeuble bien entretenu, bon voisinage et sécurisé.</t>
  </si>
  <si>
    <t>AV-003</t>
  </si>
  <si>
    <t>Ain Sbaa</t>
  </si>
  <si>
    <t>840 000 dh</t>
  </si>
  <si>
    <t>83 m2</t>
  </si>
  <si>
    <t>Appartement 
83m2 place garage titre de 14m2
Ainsbaa alles de jardin 
3eme etage avec ascenseur 
2chambre salon w2 salle de bain 2balcon 
Residence fermer securiser
840,000dh</t>
  </si>
  <si>
    <t>AV-004</t>
  </si>
  <si>
    <t>AV-005</t>
  </si>
  <si>
    <t>Appartement Yassir ext</t>
  </si>
  <si>
    <t>CFC</t>
  </si>
  <si>
    <t>3.8MD</t>
  </si>
  <si>
    <t>153 m2</t>
  </si>
  <si>
    <t>12e</t>
  </si>
  <si>
    <t xml:space="preserve">Appartement d’exception à vendre – CFC
Situé au 12ᵉ étage d’une résidence neuve fermée et sécurisée au cœur du CFC, ce superbe appartement de 153 m² offre des prestations haut de gamme, une luminosité remarquable et une vue entièrement dégagée sans vis-à-vis. Il bénéficie également de deux magnifiques terrasses, idéales pour profiter d’un cadre de vie rare et privilégié.
Pensé pour offrir confort et élégance, l’appartement se compose de :
 • Un salon spacieux et lumineux ouvrant sur une grande terrasse
 • Deux chambres, dont une belle suite parentale
 • Une cuisine moderne aménagée avec buanderie
 • Deux salles de bain aux finitions soignées
 • Deux terrasses offrant de beaux espaces extérieurs
 • Une place de garage titrée
La résidence neuve propose des prestations de standing avec salle de sport, sécurité et environnement calme.
📍 Adresse privilégiée au CFC, à proximité immédiate des bureaux, restaurants, commerces et espaces verts.
</t>
  </si>
  <si>
    <t>AL-001</t>
  </si>
  <si>
    <t>Marina Casa</t>
  </si>
  <si>
    <t>45 000 dh</t>
  </si>
  <si>
    <t>220 m²</t>
  </si>
  <si>
    <t xml:space="preserve"> EXCLUSIVITÉ – MARINA CASABLANCA 
Appartement ultra luxueux de 220 m² au cœur de la Marina Sans vis à vis.
Double salon spacieux &amp; lumineux
 3 chambres, dont une suite parentale
 Cuisine haut de gamme avec îlot central
 Chambre de personnel
 Prestations premium &amp; finitions de standing
 2place de Parking &amp; sécurité 24/7
Un bien d’exception pour un art de vivre unique face à l’océan et mosquée Hassan 2</t>
  </si>
  <si>
    <t>AL-002</t>
  </si>
  <si>
    <t>30 000 dh</t>
  </si>
  <si>
    <t>168 m²</t>
  </si>
  <si>
    <t>Appartement à CFC 14eme étage jamais habité 
3 chambres dont une suite parentale avec dressing et salle de bain 
2 salles de bain 
Grande terrasse 
Résidence avec piscine au rooftop salle de sport et salle de jeux et salle de réunion 
30.000 Dhs dernier prix
Inclus frais de concierge</t>
  </si>
  <si>
    <t>AL-003</t>
  </si>
  <si>
    <t>200 m²</t>
  </si>
  <si>
    <t>Canva</t>
  </si>
  <si>
    <t>Cuisine équipée
Place garage</t>
  </si>
  <si>
    <t>Rez de jardin</t>
  </si>
  <si>
    <t>13 500 dh</t>
  </si>
  <si>
    <t>140 m²</t>
  </si>
  <si>
    <t>RDJ</t>
  </si>
  <si>
    <t>Location Dar Bouazza: Rez-de-jardin d’exception – Volumes loft &amp; grande terrasse
Dans une résidence sécurisée, calme et familiale avec 2 piscines, superbe rez-de-jardin de 140 m², orienté Sud-Ouest, offrant des volumes rares et une luminosité exceptionnelle. A 3 minutes de la mer et proches écoles.
Prestations :
Surface habitable : 140 m²
Terrasse de 70 m² avec barbecue construit
Hauteur sous plafond 3,50 m – esprit loft
Double salon avec cheminée fonctionnelle
3 chambres, dont suite parentale
2 salles de douche
1 salle de bain invités
Orientation Sud-Ouest
Rez-de-jardin
Résidence sécurisée
2 piscines
Environnement calme et familial, commerces de proximité: épicerie, pressing, pharmacie. 
Idéal résidence principale</t>
  </si>
  <si>
    <t>AL-005</t>
  </si>
  <si>
    <t>Bourgogne hjajma</t>
  </si>
  <si>
    <t>9500 dh</t>
  </si>
  <si>
    <t>125 m2</t>
  </si>
  <si>
    <t>RDC</t>
  </si>
  <si>
    <t>2 chambres 1 salon 2 salle de bains 1 cuisine et terrasse au rdv. Immeuble avec centre commercial marjane. Sécurité 24/24 à bourgogne hjajma</t>
  </si>
  <si>
    <t>AL-006</t>
  </si>
  <si>
    <t xml:space="preserve">Racine extension </t>
  </si>
  <si>
    <t>9000 dh</t>
  </si>
  <si>
    <t>115 m²</t>
  </si>
  <si>
    <t>Racine extension
Racine extension 
Appartement vide à la location de 115m2 
En Rez de chaussée 
Grand salon
Cuisine 
2chambres 
Une salle de bain 
Une grande terrasse
Prix: 9000dh</t>
  </si>
  <si>
    <t>AL-007</t>
  </si>
  <si>
    <t>Abdelmoumen-Oasis</t>
  </si>
  <si>
    <t>8000 dh</t>
  </si>
  <si>
    <t>45  m²</t>
  </si>
  <si>
    <t xml:space="preserve">1er </t>
  </si>
  <si>
    <t>Abdelmoumen-oasis
Découvrez ce joli appartement de 45 m² situé au 1er étage d’une résidence agréable au cœur de Casablanca.
Neuf jamais habite
Il se compose de :
        •        Un salon lumineux
        •        1 chambre confortable
        •        Cuisine américaine équipée
        •        Salle de bain
        •        Place de parking
Prix: 8000dh/mois
Caution: 2mois 
Frais dagence: 1 mois de loyer</t>
  </si>
  <si>
    <t>DV-001</t>
  </si>
  <si>
    <t>Duplex</t>
  </si>
  <si>
    <t>Racine - Les Iris</t>
  </si>
  <si>
    <t>6 700 000 dh</t>
  </si>
  <si>
    <t>327 m²</t>
  </si>
  <si>
    <t>2 et 3e étage</t>
  </si>
  <si>
    <t>Magnifique Duplex Rénové à Racine – Les Iris
Découvrez ce superbe duplex entièrement rénové il y a 2 ans, idéalement situé au 2ᵉ et 3ᵉ étage d’une résidence calme et bien entretenue au cœur du quartier Racine (Les Iris).
Ce bien d’exception allie l’élégance, la luminosité et le confort moderne, offrant des volumes généreux et une distribution harmonieuse :
Composition :
        •        Triple salon spacieux avec de grandes baies vitrées
        •        4 chambres dont une suite parentale avec salle de bain attenante
        •        3 salles de bain modernes avec finitions haut de gamme
        •        Cuisine indépendante équipée
        •        Balcons offrant une belle luminosité
        •        Matériaux et finitions de qualité (marbre, parquet, climatisation, menuiserie haut de gamme)
 Emplacement privilégié :
Situé dans un secteur recherché de Racine, proche des commerces, écoles, restaurants et axes principaux.</t>
  </si>
  <si>
    <t>DV-002</t>
  </si>
  <si>
    <t>Triplex</t>
  </si>
  <si>
    <t>8 000 000 MAD</t>
  </si>
  <si>
    <t>368 m²</t>
  </si>
  <si>
    <t xml:space="preserve">Dernier étage </t>
  </si>
  <si>
    <t>8.000.000 DHS 📍 AIN DIAB - - VENTE D'UN MAGNIFIQUE TRIPLEX  DE 368 M² - VUE MER - DERNIER ÉTAGE AVEC CHEMINÉE  - 3 CH. ROOF TOP AMÉNAGÉ- JACUZZI 
8.000.000 DHS
A proximité immédiate de toutes les commodités, dans une résidence de prestige, vente d'un exceptionnel Triplex de 368m² avec terasse et roof top vue mer .
Premier niveau 117 m2 :
- Une suite parentale avec dressing et salle de bain 
- 2 chambres avec placard et salle de bain
- parquet massif 
2 eme niveau 119 m2 :
•⁠  ⁠entrée
•⁠  ⁠triple réception 
- ⁠terasse vue mer 
- ⁠cheminée 
•⁠  ⁠superbe cuisine avec îlot centrale 
•⁠  ⁠sanitaire de réception
3 eme niveau 100 m2 :
- Roof top couvert aménagé avec parquet massif 
- Roof top extérieur vue mer
- Jacuzzi 
- chambre du personnel avec salle de bain 
•⁠  ⁠2 place de parking  + Box titrée de 14m2
•⁠  ⁠sécurité 24/24
PRIX DE VENTE: 8.000.000 DHS
Honoraires: 2,5% plus TVA (20%)</t>
  </si>
  <si>
    <t>A ne pas diffuser ( tout modifier)</t>
  </si>
  <si>
    <t>SV-001</t>
  </si>
  <si>
    <t>ZIRAOUI</t>
  </si>
  <si>
    <t>1,100,000dh</t>
  </si>
  <si>
    <t>40m2</t>
  </si>
  <si>
    <t>40m2
Bourgone (lyaute)
Studio en vente meublé 
Place garage 
Prix: 1,100,000dh
Simo Elhassar Abi Studio Lyautee</t>
  </si>
  <si>
    <t>SV-002</t>
  </si>
  <si>
    <t>1 200 000</t>
  </si>
  <si>
    <t>54m2</t>
  </si>
  <si>
    <t>Non meublé</t>
  </si>
  <si>
    <t>1,200,000 a la vente ca revient a 22,225MAD/m2 il faudrait taille du balcon</t>
  </si>
  <si>
    <t>15 500</t>
  </si>
  <si>
    <t>60m2</t>
  </si>
  <si>
    <t>Appartement Marina 
10eme etage 
Studio 
60m2 avec terrasse 
Vue mosque et plage 
Pour location longue duree
Meublé 
Place garage FRAIS SYNDICAT INCLUS</t>
  </si>
  <si>
    <t>SL-002</t>
  </si>
  <si>
    <t>Ferme bretonne</t>
  </si>
  <si>
    <t>8300 dh</t>
  </si>
  <si>
    <t>50 m²</t>
  </si>
  <si>
    <t>RDC surélevé</t>
  </si>
  <si>
    <t>Ferme bretonne
Studio de 50m2 en location meublé
Cuisine séparée équipé
Rez de chaussée surélevée 
Prix: 8500dh</t>
  </si>
  <si>
    <t>SL-003</t>
  </si>
  <si>
    <t>7500 MAD</t>
  </si>
  <si>
    <t>59 m²</t>
  </si>
  <si>
    <t xml:space="preserve">Description du bien
        •        Type : Studio meublé
        •        Surface : 59 m²  ￼
        •        Emplacement : Ferme Bretonne (Hay Arraha), Casablanca — dans un quartier calme, sécurisé, proche de la Casablanca Finance City.  ￼
        •        État : Neuf, tout a été récemment rénové / mis à neuf.
        •        Meubles &amp; équipements :
* Salon lumineux avec canapé, table basse, TV, décoration soignée  ￼
* Chambre avec lit double, placards intégrés, tables de nuit, rideaux occultants  ￼
* Cuisine entièrement équipée (réfrigérateur, four, plaques, micro-ondes, ustensiles, vaisselle)  ￼
* Salle de bain moderne avec douche, lavabo, WC, rangements  ￼
Avantages / Atouts
        •        Quartier résidentiel calme et sécurisé  ￼
        •        Proche des commodités : transports, commerces, restaurants, supermarchés, etc.  ￼
        •        Bonne desserte et proximité des zones d’affaires (Casablanca Finance City) ce qui est pratique pour les déplacements professionnels.  ￼
Loyer &amp; Conditions
        •        Loyer : 7500 DH/mois  ￼
        •        Disponible pour location longue durée </t>
  </si>
  <si>
    <t>11000 dh</t>
  </si>
  <si>
    <t>65 m²</t>
  </si>
  <si>
    <t>11e</t>
  </si>
  <si>
    <t>Studio meublé à louer – CFC
Situé dans le prestigieux quartier Casablanca Finance City, ce magnifique studio de 65 m² se trouve au 11ᵉ étage d’une résidence moderne à Casablanca.
Il se compose de :
* Double salon spacieux et lumineux
* Cuisine américaine ouverte
* 1 chambre confortable
* 1 salle de bain
Conditions de location :
* Loyer : 11 000 DH / mois
* Caution : 2 mois
* Frais d’agence : 1 mois de loyer
Studio idéal pour un cadre de vie moderne au cœur de CFC.</t>
  </si>
  <si>
    <t>SL-005</t>
  </si>
  <si>
    <t>BV-001</t>
  </si>
  <si>
    <t>cil 3min de cfc</t>
  </si>
  <si>
    <t>2,000,000dh</t>
  </si>
  <si>
    <t>91 m2</t>
  </si>
  <si>
    <t>91 m2 + 18 de parking 
Juste à côté de CFC</t>
  </si>
  <si>
    <t>BL-001</t>
  </si>
  <si>
    <t>Bd Anfa</t>
  </si>
  <si>
    <t>45 000 DH / mois</t>
  </si>
  <si>
    <t>225 m²</t>
  </si>
  <si>
    <t>Bureau moderne haut standing à louer à Boulvard D’anfa – 225 m²
Bureau moderne entièrement aménagé par un architecte d’intérieur, offrant des prestations haut de gamme et des matériaux nobles, idéal pour cabinet professionnel ou siège d’entreprise.
Superficie : 225 m²
Caractéristiques :
Aménagement contemporain et harmonieux
Bois massif et portes en noyer naturel
Menuiserie aluminium double vitrage
Sol en vinyle haut standing
Habillage mural complet pour une ambiance élégante et cohérente
Climatisation centralisée
Composition :
Espace accueil
Salle d’attente
Cuisine équipée
Balcon
Salle de réunion
Espace collaborateurs pouvant accueillir jusqu’à 16 personnes
1 bureau de directeur
1 bureau de chef de cabinet
1 bureau pour 2 collaborateurs du chef de cabinet
Bureau clé en main, lumineux, fonctionnel et parfaitement pensé pour une activité professionnelle exigeante.
Prix de location : 45 000 DH / mois</t>
  </si>
  <si>
    <t>BL-002</t>
  </si>
  <si>
    <t>18500 dh</t>
  </si>
  <si>
    <t>72 m2</t>
  </si>
  <si>
    <t>72 Mètre carré avec deux places parking</t>
  </si>
  <si>
    <t>BL-003</t>
  </si>
  <si>
    <t>Oasis</t>
  </si>
  <si>
    <t>25.000 HT/mois</t>
  </si>
  <si>
    <t>131 m²</t>
  </si>
  <si>
    <t>1er étage</t>
  </si>
  <si>
    <t>Bureau 
Oasis
- 1er etage, traversant (2 facades : une sur le boulevard principale et une sur la couts)
 131m2 dont 12 de cours + 1 place de parking au s-sol
25.000 HT/mois</t>
  </si>
  <si>
    <t>BL-004</t>
  </si>
  <si>
    <t>Cheikh khalifa</t>
  </si>
  <si>
    <t>8000dh</t>
  </si>
  <si>
    <t>74 m2</t>
  </si>
  <si>
    <t>À LOUER – Plateau bureau neuf de 74 m² – Emplacement stratégique proche de l’Hôpital Cheikh Khalifa
Nous proposons à la location un bureau neuf et lumineux de 74 m², situé au 1er étage d’un immeuble professionnel récemment livré, idéalement conçu pour accueillir des activités tertiaires.
Caractéristiques principales :
• Surface : 74 m² bien agencés, offrant de nombreuses possibilités d’aménagement.
• Accessibilité : Deux ascenseurs desservant tous les niveaux pour un accès confortable.
• Équipement :
• Pré-installation pour kitchenette.
• Grande toilette indépendante aménagée.
• Place de parking privative en sous-sol (avec deux niveaux de stationnement disponibles).
• Environnement professionnel : Immeuble à taille humaine composé uniquement de 30 bureaux, occupé par divers professionnels (médecins, avocats, consultants, etc.).
• Localisation :
• À seulement 5 minutes de l’Hôpital Cheikh Khalifa,
• Proche des grands axes et commodités.
Avantages :
• Immeuble calme et sécurisé.
• Ambiance professionnelle propice à la productivité.
• Bâtiment aux normes modernes.</t>
  </si>
  <si>
    <t>BL-005</t>
  </si>
  <si>
    <t>Bd Abdelmoumen</t>
  </si>
  <si>
    <t>11 000 dh</t>
  </si>
  <si>
    <t>120 m2</t>
  </si>
  <si>
    <t>Boulevard abdelmoumen
PORT B 
2 ETAGE 
120 M
17 M GARAGE 
PRIX  11.000 Drh</t>
  </si>
  <si>
    <t>BL-006</t>
  </si>
  <si>
    <t xml:space="preserve">abc </t>
  </si>
  <si>
    <t>TV-001</t>
  </si>
  <si>
    <t>Terrain industriel</t>
  </si>
  <si>
    <t>zone I2S1</t>
  </si>
  <si>
    <t>3 500 dh/m²</t>
  </si>
  <si>
    <t>7 000 m²</t>
  </si>
  <si>
    <t>Terrain industriel 
zone I2S1
Superficie 7000m2
Prix: 3500dh/m2</t>
  </si>
  <si>
    <t>TV-002</t>
  </si>
  <si>
    <t>Zone industriel</t>
  </si>
  <si>
    <t>Zone industrielle Sapino</t>
  </si>
  <si>
    <t>17Mdh</t>
  </si>
  <si>
    <t>4000 m²</t>
  </si>
  <si>
    <t>ve</t>
  </si>
  <si>
    <t>R+3</t>
  </si>
  <si>
    <t>Zone industriel Sapino 
R+3
Surface terrain 1300m2
1000m2 par étage 
Total 4000m2
Monte charge</t>
  </si>
  <si>
    <t>TV-003</t>
  </si>
  <si>
    <t>55,000,000</t>
  </si>
  <si>
    <t>2Hecatre 3660m2</t>
  </si>
  <si>
    <t>2Hecatre 3660m2
Terrain pour hotel 
Front mer 🌊 
Tanger
Prix: 55,000,000dh</t>
  </si>
  <si>
    <t>TV-004</t>
  </si>
  <si>
    <t xml:space="preserve">Terrain industriel </t>
  </si>
  <si>
    <t>ain sbaa(zenata)</t>
  </si>
  <si>
    <t>3500dh/m2</t>
  </si>
  <si>
    <t>5500 m²</t>
  </si>
  <si>
    <t>Terrain industriel zenata(ainsbaa)
Superficie 5500m2
Prix: 3500dh/m2</t>
  </si>
  <si>
    <t>TV-005</t>
  </si>
  <si>
    <t>France ville</t>
  </si>
  <si>
    <t>18 000dh/m²</t>
  </si>
  <si>
    <t>1034 m²</t>
  </si>
  <si>
    <t>Terrain de 1640m2 
Prix 18,000dh/m2
Quartier France ville</t>
  </si>
  <si>
    <t>IM-001</t>
  </si>
  <si>
    <t>Batiment idustriel</t>
  </si>
  <si>
    <t>Zone industrielle Mohammedia</t>
  </si>
  <si>
    <t>6,5Mdh</t>
  </si>
  <si>
    <t>1200 m²</t>
  </si>
  <si>
    <t>A REVOIR</t>
  </si>
  <si>
    <t>Bâtiment industriel de 5 niveaux ( R+3) a la vente en parfait état.
Zone industrielle Mohammedia Sud Ouest
Surface de terrain de 351 m2, Surface utile 1200 m2 : 
1)Sous sol : 300 m2
2)RDC : 300 M2 , Hauteur au plafond 5-6 Metres
3)Etage 1 : 200 M2 , Hauteur au plafond 3-4 Metres 
4)Etage 2 : 200 M2
5)Etage : 200 M2
Ascenseur disponible , emplacement pour Monte charge disponible 
Rue large sans vis a vis et espacé pour chargement et déchargement et bien ensoleillé.
Idéale pour tout métier de service, industrie légère et stockage.</t>
  </si>
  <si>
    <t>IM-002</t>
  </si>
  <si>
    <t>Magasin</t>
  </si>
  <si>
    <t>Bd Tantan</t>
  </si>
  <si>
    <t>18,000,000 dh</t>
  </si>
  <si>
    <t>748 m²</t>
  </si>
  <si>
    <t>Magasin 
748m2 
Sur boulevard tantan
Prix: 18,000,000dh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</si>
</sst>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9" x14ac:knownFonts="1">
    <font>
      <sz val="11"/>
      <color theme="1"/>
      <name val="Calibri"/>
      <scheme val="minor"/>
    </font>
    <font>
      <b/>
      <sz val="14"/>
      <color rgb="FFC8A96E"/>
      <name val="Arial"/>
    </font>
    <font>
      <sz val="10"/>
      <color rgb="FFE2E8F0"/>
      <name val="Arial"/>
    </font>
    <font>
      <b/>
      <sz val="18"/>
      <color rgb="FFFFFFFF"/>
      <name val="Arial"/>
    </font>
    <font>
      <b/>
      <sz val="9"/>
      <color rgb="FF1E3A5F"/>
      <name val="Arial"/>
    </font>
    <font>
      <b/>
      <sz val="9"/>
      <color rgb="FFDC2626"/>
      <name val="Arial"/>
    </font>
    <font>
      <b/>
      <sz val="9"/>
      <color rgb="FFEA580C"/>
      <name val="Arial"/>
    </font>
    <font>
      <b/>
      <sz val="9"/>
      <color rgb="FFCA8A04"/>
      <name val="Arial"/>
    </font>
    <font>
      <b/>
      <sz val="9"/>
      <color rgb="FF2563EB"/>
      <name val="Arial"/>
    </font>
    <font>
      <b/>
      <sz val="9"/>
      <color rgb="FF059669"/>
      <name val="Arial"/>
    </font>
    <font>
      <b/>
      <sz val="9"/>
      <color rgb="FF7C3AED"/>
      <name val="Arial"/>
    </font>
    <font>
      <b/>
      <sz val="9"/>
      <color rgb="FF9F1239"/>
      <name val="Arial"/>
    </font>
    <font>
      <b/>
      <sz val="11"/>
      <color rgb="FFFFFFFF"/>
      <name val="Arial"/>
    </font>
    <font>
      <b/>
      <sz val="9"/>
      <color rgb="FFC8A96E"/>
      <name val="Arial"/>
    </font>
    <font>
      <b/>
      <sz val="10"/>
      <color rgb="FFDC2626"/>
      <name val="Arial"/>
    </font>
    <font>
      <sz val="10"/>
      <color rgb="FFDC2626"/>
      <name val="Arial"/>
    </font>
    <font>
      <b/>
      <sz val="10"/>
      <color rgb="FFEA580C"/>
      <name val="Arial"/>
    </font>
    <font>
      <sz val="10"/>
      <color rgb="FFEA580C"/>
      <name val="Arial"/>
    </font>
    <font>
      <b/>
      <sz val="10"/>
      <color rgb="FFCA8A04"/>
      <name val="Arial"/>
    </font>
    <font>
      <sz val="10"/>
      <color rgb="FFCA8A04"/>
      <name val="Arial"/>
    </font>
    <font>
      <b/>
      <sz val="10"/>
      <color rgb="FF16A34A"/>
      <name val="Arial"/>
    </font>
    <font>
      <sz val="10"/>
      <color rgb="FF16A34A"/>
      <name val="Arial"/>
    </font>
    <font>
      <b/>
      <sz val="10"/>
      <color rgb="FF64748B"/>
      <name val="Arial"/>
    </font>
    <font>
      <sz val="10"/>
      <color rgb="FF64748B"/>
      <name val="Arial"/>
    </font>
    <font>
      <b/>
      <sz val="10"/>
      <color rgb="FF1D4ED8"/>
      <name val="Arial"/>
    </font>
    <font>
      <sz val="10"/>
      <color theme="1"/>
      <name val="Arial"/>
    </font>
    <font>
      <b/>
      <sz val="10"/>
      <color rgb="FF7C3AED"/>
      <name val="Arial"/>
    </font>
    <font>
      <b/>
      <sz val="17"/>
      <color theme="1"/>
      <name val="Calibri"/>
      <scheme val="minor"/>
    </font>
    <font>
      <sz val="11"/>
      <color theme="1"/>
      <name val="Calibri"/>
      <scheme val="minor"/>
    </font>
    <font>
      <b/>
      <sz val="10"/>
      <color rgb="FFC8A96E"/>
      <name val="Arial"/>
    </font>
    <font>
      <sz val="8"/>
      <color rgb="FF9CA3AF"/>
      <name val="Arial"/>
    </font>
    <font>
      <b/>
      <sz val="9"/>
      <color rgb="FF1D4ED8"/>
      <name val="Arial"/>
    </font>
    <font>
      <sz val="9"/>
      <color rgb="FF1E293B"/>
      <name val="Arial"/>
    </font>
    <font>
      <b/>
      <sz val="9"/>
      <color rgb="FF0F766E"/>
      <name val="Arial"/>
    </font>
    <font>
      <sz val="9"/>
      <color rgb="FF1E40AF"/>
      <name val="Arial"/>
    </font>
    <font>
      <b/>
      <sz val="9"/>
      <color rgb="FF111827"/>
      <name val="Arial"/>
    </font>
    <font>
      <sz val="9"/>
      <color rgb="FF6B7280"/>
      <name val="Arial"/>
    </font>
    <font>
      <sz val="9"/>
      <color rgb="FF0F766E"/>
      <name val="Arial"/>
    </font>
    <font>
      <sz val="9"/>
      <color rgb="FF374151"/>
      <name val="Arial"/>
    </font>
    <font>
      <sz val="9"/>
      <color rgb="FF555555"/>
      <name val="Arial"/>
    </font>
    <font>
      <b/>
      <sz val="9"/>
      <color rgb="FF1E293B"/>
      <name val="Arial"/>
    </font>
    <font>
      <sz val="9"/>
      <color rgb="FFEA580C"/>
      <name val="Arial"/>
    </font>
    <font>
      <b/>
      <sz val="9"/>
      <color rgb="FFD97706"/>
      <name val="Arial"/>
    </font>
    <font>
      <sz val="10"/>
      <color rgb="FFCCCCCC"/>
      <name val="Arial"/>
    </font>
    <font>
      <strike/>
      <sz val="8"/>
      <color rgb="FF9CA3AF"/>
      <name val="Arial"/>
    </font>
    <font>
      <b/>
      <strike/>
      <sz val="9"/>
      <color rgb="FF1D4ED8"/>
      <name val="Arial"/>
    </font>
    <font>
      <strike/>
      <sz val="9"/>
      <color rgb="FFEA580C"/>
      <name val="Arial"/>
    </font>
    <font>
      <b/>
      <strike/>
      <sz val="9"/>
      <color rgb="FFD97706"/>
      <name val="Arial"/>
    </font>
    <font>
      <strike/>
      <sz val="9"/>
      <color rgb="FF1E293B"/>
      <name val="Arial"/>
    </font>
    <font>
      <b/>
      <strike/>
      <sz val="9"/>
      <color rgb="FF0F766E"/>
      <name val="Arial"/>
    </font>
    <font>
      <strike/>
      <sz val="9"/>
      <color rgb="FF1E40AF"/>
      <name val="Arial"/>
    </font>
    <font>
      <b/>
      <strike/>
      <sz val="9"/>
      <color rgb="FF111827"/>
      <name val="Arial"/>
    </font>
    <font>
      <strike/>
      <sz val="9"/>
      <color rgb="FF6B7280"/>
      <name val="Arial"/>
    </font>
    <font>
      <strike/>
      <sz val="9"/>
      <color rgb="FF0F766E"/>
      <name val="Arial"/>
    </font>
    <font>
      <strike/>
      <sz val="10"/>
      <color rgb="FF16A34A"/>
      <name val="Arial"/>
    </font>
    <font>
      <strike/>
      <sz val="9"/>
      <color rgb="FF374151"/>
      <name val="Arial"/>
    </font>
    <font>
      <strike/>
      <sz val="9"/>
      <color rgb="FF555555"/>
      <name val="Arial"/>
    </font>
    <font>
      <strike/>
      <sz val="11"/>
      <color theme="1"/>
      <name val="Calibri"/>
      <scheme val="minor"/>
    </font>
    <font>
      <sz val="9"/>
      <color rgb="FFCA8A04"/>
      <name val="Arial"/>
    </font>
    <font>
      <b/>
      <sz val="9"/>
      <color rgb="FF16A34A"/>
      <name val="Arial"/>
    </font>
    <font>
      <strike/>
      <sz val="9"/>
      <color rgb="FF64748B"/>
      <name val="Arial"/>
    </font>
    <font>
      <b/>
      <strike/>
      <sz val="9"/>
      <color rgb="FF16A34A"/>
      <name val="Arial"/>
    </font>
    <font>
      <b/>
      <strike/>
      <sz val="9"/>
      <color rgb="FFDC2626"/>
      <name val="Arial"/>
    </font>
    <font>
      <b/>
      <sz val="9"/>
      <color rgb="FF6B7280"/>
      <name val="Arial"/>
    </font>
    <font>
      <b/>
      <strike/>
      <sz val="9"/>
      <color rgb="FF6B7280"/>
      <name val="Arial"/>
    </font>
    <font>
      <strike/>
      <sz val="9"/>
      <color rgb="FFCA8A04"/>
      <name val="Arial"/>
    </font>
    <font>
      <sz val="9"/>
      <color rgb="FF16A34A"/>
      <name val="Arial"/>
    </font>
    <font>
      <sz val="9"/>
      <color rgb="FF64748B"/>
      <name val="Arial"/>
    </font>
    <font>
      <b/>
      <sz val="10"/>
      <color rgb="FFFFFFFF"/>
      <name val="Arial"/>
    </font>
    <font>
      <b/>
      <sz val="13"/>
      <color rgb="FFC8A96E"/>
      <name val="Arial"/>
    </font>
    <font>
      <b/>
      <sz val="9"/>
      <color rgb="FF374151"/>
      <name val="Arial"/>
    </font>
    <font>
      <b/>
      <sz val="11"/>
      <color rgb="FFC8A96E"/>
      <name val="Arial"/>
    </font>
    <font>
      <i/>
      <sz val="8"/>
      <color rgb="FF94A3B8"/>
      <name val="Arial"/>
    </font>
    <font>
      <b/>
      <sz val="9"/>
      <color rgb="FFC8A96E"/>
      <name val="Arial"/>
    </font>
    <font>
      <sz val="8"/>
      <color rgb="FF9CA3AF"/>
      <name val="Arial"/>
    </font>
    <font>
      <b/>
      <sz val="9"/>
      <color rgb="FF1E3A5F"/>
      <name val="Arial"/>
    </font>
    <font>
      <b/>
      <sz val="9"/>
      <color rgb="FF111827"/>
      <name val="Arial"/>
    </font>
    <font>
      <b/>
      <sz val="9"/>
      <color rgb="FF0F766E"/>
      <name val="Arial"/>
    </font>
    <font>
      <b/>
      <sz val="9"/>
      <color rgb="FF1E293B"/>
      <name val="Arial"/>
    </font>
    <font>
      <sz val="9"/>
      <color rgb="FF555555"/>
      <name val="Arial"/>
    </font>
    <font>
      <sz val="8"/>
      <color rgb="FF555555"/>
      <name val="Arial"/>
    </font>
    <font>
      <sz val="9"/>
      <color rgb="FF374151"/>
      <name val="Arial"/>
    </font>
    <font>
      <b/>
      <sz val="9"/>
      <color rgb="FF059669"/>
      <name val="Arial"/>
    </font>
    <font>
      <sz val="9"/>
      <color rgb="FF7C3AED"/>
      <name val="Arial"/>
    </font>
    <font>
      <u/>
      <sz val="9"/>
      <color rgb="FF1E40AF"/>
      <name val="Arial"/>
    </font>
    <font>
      <sz val="8"/>
      <color rgb="FF374151"/>
      <name val="Arial"/>
    </font>
    <font>
      <sz val="8"/>
      <color rgb="FFEA580C"/>
      <name val="Arial"/>
    </font>
    <font>
      <b/>
      <sz val="9"/>
      <color rgb="FF1D4ED8"/>
      <name val="Arial"/>
    </font>
    <font>
      <sz val="9"/>
      <color rgb="FF1E293B"/>
      <name val="Arial"/>
    </font>
  </fonts>
  <fills count="34">
    <fill>
      <patternFill patternType="none"/>
    </fill>
    <fill>
      <patternFill patternType="gray125"/>
    </fill>
    <fill>
      <patternFill patternType="solid">
        <fgColor rgb="FF1A2744"/>
        <bgColor rgb="FF1A2744"/>
      </patternFill>
    </fill>
    <fill>
      <patternFill patternType="solid">
        <fgColor rgb="FF0D1626"/>
        <bgColor rgb="FF0D1626"/>
      </patternFill>
    </fill>
    <fill>
      <patternFill patternType="solid">
        <fgColor rgb="FF1E3A5F"/>
        <bgColor rgb="FF1E3A5F"/>
      </patternFill>
    </fill>
    <fill>
      <patternFill patternType="solid">
        <fgColor rgb="FFDC2626"/>
        <bgColor rgb="FFDC2626"/>
      </patternFill>
    </fill>
    <fill>
      <patternFill patternType="solid">
        <fgColor rgb="FFEA580C"/>
        <bgColor rgb="FFEA580C"/>
      </patternFill>
    </fill>
    <fill>
      <patternFill patternType="solid">
        <fgColor rgb="FFCA8A04"/>
        <bgColor rgb="FFCA8A04"/>
      </patternFill>
    </fill>
    <fill>
      <patternFill patternType="solid">
        <fgColor rgb="FF2563EB"/>
        <bgColor rgb="FF2563EB"/>
      </patternFill>
    </fill>
    <fill>
      <patternFill patternType="solid">
        <fgColor rgb="FF059669"/>
        <bgColor rgb="FF059669"/>
      </patternFill>
    </fill>
    <fill>
      <patternFill patternType="solid">
        <fgColor rgb="FF7C3AED"/>
        <bgColor rgb="FF7C3AED"/>
      </patternFill>
    </fill>
    <fill>
      <patternFill patternType="solid">
        <fgColor rgb="FF9F1239"/>
        <bgColor rgb="FF9F1239"/>
      </patternFill>
    </fill>
    <fill>
      <patternFill patternType="solid">
        <fgColor rgb="FF2D3748"/>
        <bgColor rgb="FF2D3748"/>
      </patternFill>
    </fill>
    <fill>
      <patternFill patternType="solid">
        <fgColor rgb="FFFEF2F2"/>
        <bgColor rgb="FFFEF2F2"/>
      </patternFill>
    </fill>
    <fill>
      <patternFill patternType="solid">
        <fgColor rgb="FFFFF7ED"/>
        <bgColor rgb="FFFFF7ED"/>
      </patternFill>
    </fill>
    <fill>
      <patternFill patternType="solid">
        <fgColor rgb="FFFEFCE8"/>
        <bgColor rgb="FFFEFCE8"/>
      </patternFill>
    </fill>
    <fill>
      <patternFill patternType="solid">
        <fgColor rgb="FFF0FDF4"/>
        <bgColor rgb="FFF0FDF4"/>
      </patternFill>
    </fill>
    <fill>
      <patternFill patternType="solid">
        <fgColor rgb="FFF8FAFC"/>
        <bgColor rgb="FFF8FAFC"/>
      </patternFill>
    </fill>
    <fill>
      <patternFill patternType="solid">
        <fgColor rgb="FFEFF6FF"/>
        <bgColor rgb="FFEFF6FF"/>
      </patternFill>
    </fill>
    <fill>
      <patternFill patternType="solid">
        <fgColor rgb="FFFAF5FF"/>
        <bgColor rgb="FFFAF5FF"/>
      </patternFill>
    </fill>
    <fill>
      <patternFill patternType="solid">
        <fgColor rgb="FFFFFBEB"/>
        <bgColor rgb="FFFFFBEB"/>
      </patternFill>
    </fill>
    <fill>
      <patternFill patternType="solid">
        <fgColor rgb="FFFFFFFF"/>
        <bgColor rgb="FFFFFFFF"/>
      </patternFill>
    </fill>
    <fill>
      <patternFill patternType="solid">
        <fgColor rgb="FFFFF5F5"/>
        <bgColor rgb="FFFFF5F5"/>
      </patternFill>
    </fill>
    <fill>
      <patternFill patternType="solid">
        <fgColor rgb="FFF8F9FB"/>
        <bgColor rgb="FFF8F9FB"/>
      </patternFill>
    </fill>
    <fill>
      <patternFill patternType="solid">
        <fgColor rgb="FF1A2744"/>
      </patternFill>
    </fill>
    <fill>
      <patternFill patternType="solid">
        <fgColor rgb="FF0D1626"/>
      </patternFill>
    </fill>
    <fill>
      <patternFill patternType="solid">
        <fgColor rgb="FFFEF2F2"/>
      </patternFill>
    </fill>
    <fill>
      <patternFill patternType="solid">
        <fgColor rgb="FFFDF4FF"/>
      </patternFill>
    </fill>
    <fill>
      <patternFill patternType="solid">
        <fgColor rgb="FFEFF6FF"/>
      </patternFill>
    </fill>
    <fill>
      <patternFill patternType="solid">
        <fgColor rgb="FFFFFFFF"/>
      </patternFill>
    </fill>
    <fill>
      <patternFill patternType="solid">
        <fgColor rgb="FFF8F9FB"/>
      </patternFill>
    </fill>
    <fill>
      <patternFill patternType="solid">
        <fgColor rgb="FFF0FDF4"/>
      </patternFill>
    </fill>
    <fill>
      <patternFill patternType="solid">
        <fgColor rgb="FFFEFCE8"/>
      </patternFill>
    </fill>
    <fill>
      <patternFill patternType="solid">
        <fgColor rgb="FFF5F3FF"/>
      </patternFill>
    </fill>
  </fills>
  <borders count="4">
    <border>
      <left/>
      <right/>
      <top/>
      <bottom/>
      <diagonal/>
    </border>
    <border>
      <left/>
      <right/>
      <top/>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44">
    <xf numFmtId="0" fontId="0" fillId="0" borderId="0" xfId="0"/>
    <xf numFmtId="1" fontId="3" fillId="4" borderId="1" xfId="0" applyNumberFormat="1" applyFont="1" applyFill="1" applyBorder="1" applyAlignment="1">
      <alignment horizontal="center" vertical="center"/>
    </xf>
    <xf numFmtId="1" fontId="3" fillId="5" borderId="1" xfId="0" applyNumberFormat="1" applyFont="1" applyFill="1" applyBorder="1" applyAlignment="1">
      <alignment horizontal="center" vertical="center"/>
    </xf>
    <xf numFmtId="1" fontId="3" fillId="6" borderId="1" xfId="0" applyNumberFormat="1" applyFont="1" applyFill="1" applyBorder="1" applyAlignment="1">
      <alignment horizontal="center" vertical="center"/>
    </xf>
    <xf numFmtId="1" fontId="3" fillId="7" borderId="1" xfId="0" applyNumberFormat="1" applyFont="1" applyFill="1" applyBorder="1" applyAlignment="1">
      <alignment horizontal="center" vertical="center"/>
    </xf>
    <xf numFmtId="1" fontId="3" fillId="8" borderId="1" xfId="0" applyNumberFormat="1" applyFont="1" applyFill="1" applyBorder="1" applyAlignment="1">
      <alignment horizontal="center" vertical="center"/>
    </xf>
    <xf numFmtId="1" fontId="3" fillId="9" borderId="1" xfId="0" applyNumberFormat="1" applyFont="1" applyFill="1" applyBorder="1" applyAlignment="1">
      <alignment horizontal="center" vertical="center"/>
    </xf>
    <xf numFmtId="1" fontId="3" fillId="10" borderId="1" xfId="0" applyNumberFormat="1" applyFont="1" applyFill="1" applyBorder="1" applyAlignment="1">
      <alignment horizontal="center" vertical="center"/>
    </xf>
    <xf numFmtId="1" fontId="3" fillId="11" borderId="1" xfId="0" applyNumberFormat="1"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3" fillId="12" borderId="2" xfId="0" applyFont="1" applyFill="1" applyBorder="1" applyAlignment="1">
      <alignment horizontal="center" vertical="center" wrapText="1"/>
    </xf>
    <xf numFmtId="0" fontId="14" fillId="13" borderId="1" xfId="0" applyFont="1" applyFill="1" applyBorder="1" applyAlignment="1">
      <alignment horizontal="left" vertical="center"/>
    </xf>
    <xf numFmtId="1" fontId="15" fillId="13" borderId="1" xfId="0" applyNumberFormat="1" applyFont="1" applyFill="1" applyBorder="1" applyAlignment="1">
      <alignment horizontal="center" vertical="center"/>
    </xf>
    <xf numFmtId="0" fontId="16" fillId="14" borderId="1" xfId="0" applyFont="1" applyFill="1" applyBorder="1" applyAlignment="1">
      <alignment horizontal="left" vertical="center"/>
    </xf>
    <xf numFmtId="1" fontId="17" fillId="14" borderId="1" xfId="0" applyNumberFormat="1" applyFont="1" applyFill="1" applyBorder="1" applyAlignment="1">
      <alignment horizontal="center" vertical="center"/>
    </xf>
    <xf numFmtId="0" fontId="18" fillId="15" borderId="1" xfId="0" applyFont="1" applyFill="1" applyBorder="1" applyAlignment="1">
      <alignment horizontal="left" vertical="center"/>
    </xf>
    <xf numFmtId="1" fontId="19" fillId="15" borderId="1" xfId="0" applyNumberFormat="1" applyFont="1" applyFill="1" applyBorder="1" applyAlignment="1">
      <alignment horizontal="center" vertical="center"/>
    </xf>
    <xf numFmtId="0" fontId="20" fillId="16" borderId="1" xfId="0" applyFont="1" applyFill="1" applyBorder="1" applyAlignment="1">
      <alignment horizontal="left" vertical="center"/>
    </xf>
    <xf numFmtId="1" fontId="21" fillId="16" borderId="1" xfId="0" applyNumberFormat="1" applyFont="1" applyFill="1" applyBorder="1" applyAlignment="1">
      <alignment horizontal="center" vertical="center"/>
    </xf>
    <xf numFmtId="0" fontId="22" fillId="17" borderId="1" xfId="0" applyFont="1" applyFill="1" applyBorder="1" applyAlignment="1">
      <alignment horizontal="left" vertical="center"/>
    </xf>
    <xf numFmtId="1" fontId="23" fillId="17" borderId="1" xfId="0" applyNumberFormat="1" applyFont="1" applyFill="1" applyBorder="1" applyAlignment="1">
      <alignment horizontal="center" vertical="center"/>
    </xf>
    <xf numFmtId="0" fontId="24" fillId="18" borderId="1" xfId="0" applyFont="1" applyFill="1" applyBorder="1" applyAlignment="1">
      <alignment horizontal="left" vertical="center"/>
    </xf>
    <xf numFmtId="1" fontId="25" fillId="18" borderId="1" xfId="0" applyNumberFormat="1" applyFont="1" applyFill="1" applyBorder="1" applyAlignment="1">
      <alignment horizontal="center" vertical="center"/>
    </xf>
    <xf numFmtId="0" fontId="26" fillId="19" borderId="1" xfId="0" applyFont="1" applyFill="1" applyBorder="1" applyAlignment="1">
      <alignment horizontal="left" vertical="center"/>
    </xf>
    <xf numFmtId="1" fontId="25" fillId="19" borderId="1" xfId="0" applyNumberFormat="1" applyFont="1" applyFill="1" applyBorder="1" applyAlignment="1">
      <alignment horizontal="center" vertical="center"/>
    </xf>
    <xf numFmtId="0" fontId="27" fillId="0" borderId="0" xfId="0" applyFont="1"/>
    <xf numFmtId="0" fontId="28" fillId="0" borderId="0" xfId="0" applyFont="1"/>
    <xf numFmtId="1" fontId="25" fillId="16" borderId="1" xfId="0" applyNumberFormat="1" applyFont="1" applyFill="1" applyBorder="1" applyAlignment="1">
      <alignment horizontal="center" vertical="center"/>
    </xf>
    <xf numFmtId="0" fontId="29" fillId="2" borderId="2" xfId="0" applyFont="1" applyFill="1" applyBorder="1" applyAlignment="1">
      <alignment horizontal="center" vertical="center" wrapText="1"/>
    </xf>
    <xf numFmtId="0" fontId="30" fillId="20" borderId="2" xfId="0" applyFont="1" applyFill="1" applyBorder="1" applyAlignment="1">
      <alignment horizontal="center" vertical="center"/>
    </xf>
    <xf numFmtId="0" fontId="31" fillId="20" borderId="2" xfId="0" applyFont="1" applyFill="1" applyBorder="1" applyAlignment="1">
      <alignment horizontal="center" vertical="center"/>
    </xf>
    <xf numFmtId="0" fontId="5" fillId="20" borderId="2" xfId="0" applyFont="1" applyFill="1" applyBorder="1" applyAlignment="1">
      <alignment horizontal="center" vertical="center"/>
    </xf>
    <xf numFmtId="0" fontId="32" fillId="20" borderId="2" xfId="0" applyFont="1" applyFill="1" applyBorder="1" applyAlignment="1">
      <alignment horizontal="center" vertical="center"/>
    </xf>
    <xf numFmtId="0" fontId="33" fillId="20" borderId="2" xfId="0" applyFont="1" applyFill="1" applyBorder="1" applyAlignment="1">
      <alignment horizontal="center" vertical="center"/>
    </xf>
    <xf numFmtId="49" fontId="34" fillId="20" borderId="2" xfId="0" applyNumberFormat="1" applyFont="1" applyFill="1" applyBorder="1" applyAlignment="1">
      <alignment horizontal="center" vertical="center"/>
    </xf>
    <xf numFmtId="0" fontId="35" fillId="20" borderId="2" xfId="0" applyFont="1" applyFill="1" applyBorder="1" applyAlignment="1">
      <alignment horizontal="left" vertical="center"/>
    </xf>
    <xf numFmtId="0" fontId="32" fillId="20" borderId="2" xfId="0" applyFont="1" applyFill="1" applyBorder="1" applyAlignment="1">
      <alignment horizontal="left" vertical="center"/>
    </xf>
    <xf numFmtId="0" fontId="36" fillId="20" borderId="2" xfId="0" applyFont="1" applyFill="1" applyBorder="1" applyAlignment="1">
      <alignment horizontal="center" vertical="center"/>
    </xf>
    <xf numFmtId="0" fontId="37" fillId="20" borderId="2" xfId="0" applyFont="1" applyFill="1" applyBorder="1" applyAlignment="1">
      <alignment horizontal="center" vertical="center"/>
    </xf>
    <xf numFmtId="0" fontId="21" fillId="20" borderId="2" xfId="0" applyFont="1" applyFill="1" applyBorder="1" applyAlignment="1">
      <alignment horizontal="center" vertical="center"/>
    </xf>
    <xf numFmtId="0" fontId="38" fillId="20" borderId="2" xfId="0" applyFont="1" applyFill="1" applyBorder="1" applyAlignment="1">
      <alignment horizontal="left" vertical="center"/>
    </xf>
    <xf numFmtId="0" fontId="39" fillId="20" borderId="2" xfId="0" applyFont="1" applyFill="1" applyBorder="1" applyAlignment="1">
      <alignment horizontal="center" vertical="center"/>
    </xf>
    <xf numFmtId="0" fontId="39" fillId="20" borderId="2" xfId="0" applyFont="1" applyFill="1" applyBorder="1" applyAlignment="1">
      <alignment horizontal="left" vertical="center"/>
    </xf>
    <xf numFmtId="0" fontId="30" fillId="20" borderId="2" xfId="0" applyFont="1" applyFill="1" applyBorder="1" applyAlignment="1">
      <alignment horizontal="left" vertical="center"/>
    </xf>
    <xf numFmtId="0" fontId="40" fillId="20" borderId="2" xfId="0" applyFont="1" applyFill="1" applyBorder="1" applyAlignment="1">
      <alignment horizontal="left" vertical="center"/>
    </xf>
    <xf numFmtId="0" fontId="41" fillId="20" borderId="2" xfId="0" applyFont="1" applyFill="1" applyBorder="1" applyAlignment="1">
      <alignment horizontal="center" vertical="center"/>
    </xf>
    <xf numFmtId="0" fontId="42" fillId="20" borderId="2" xfId="0" applyFont="1" applyFill="1" applyBorder="1" applyAlignment="1">
      <alignment horizontal="center" vertical="center"/>
    </xf>
    <xf numFmtId="0" fontId="43" fillId="20" borderId="2" xfId="0" applyFont="1" applyFill="1" applyBorder="1" applyAlignment="1">
      <alignment horizontal="center" vertical="center"/>
    </xf>
    <xf numFmtId="0" fontId="44" fillId="20" borderId="2" xfId="0" applyFont="1" applyFill="1" applyBorder="1" applyAlignment="1">
      <alignment horizontal="center" vertical="center"/>
    </xf>
    <xf numFmtId="0" fontId="45" fillId="20" borderId="2" xfId="0" applyFont="1" applyFill="1" applyBorder="1" applyAlignment="1">
      <alignment horizontal="center" vertical="center"/>
    </xf>
    <xf numFmtId="0" fontId="46" fillId="20" borderId="2" xfId="0" applyFont="1" applyFill="1" applyBorder="1" applyAlignment="1">
      <alignment horizontal="center" vertical="center"/>
    </xf>
    <xf numFmtId="0" fontId="47" fillId="20" borderId="2" xfId="0" applyFont="1" applyFill="1" applyBorder="1" applyAlignment="1">
      <alignment horizontal="center" vertical="center"/>
    </xf>
    <xf numFmtId="0" fontId="48" fillId="20" borderId="2" xfId="0" applyFont="1" applyFill="1" applyBorder="1" applyAlignment="1">
      <alignment horizontal="center" vertical="center"/>
    </xf>
    <xf numFmtId="0" fontId="49" fillId="20" borderId="2" xfId="0" applyFont="1" applyFill="1" applyBorder="1" applyAlignment="1">
      <alignment horizontal="center" vertical="center"/>
    </xf>
    <xf numFmtId="49" fontId="50" fillId="20" borderId="2" xfId="0" applyNumberFormat="1" applyFont="1" applyFill="1" applyBorder="1" applyAlignment="1">
      <alignment horizontal="center" vertical="center"/>
    </xf>
    <xf numFmtId="0" fontId="51" fillId="20" borderId="2" xfId="0" applyFont="1" applyFill="1" applyBorder="1" applyAlignment="1">
      <alignment horizontal="left" vertical="center"/>
    </xf>
    <xf numFmtId="0" fontId="48" fillId="20" borderId="2" xfId="0" applyFont="1" applyFill="1" applyBorder="1" applyAlignment="1">
      <alignment horizontal="left" vertical="center"/>
    </xf>
    <xf numFmtId="0" fontId="52" fillId="20" borderId="2" xfId="0" applyFont="1" applyFill="1" applyBorder="1" applyAlignment="1">
      <alignment horizontal="center" vertical="center"/>
    </xf>
    <xf numFmtId="0" fontId="53" fillId="20" borderId="2" xfId="0" applyFont="1" applyFill="1" applyBorder="1" applyAlignment="1">
      <alignment horizontal="center" vertical="center"/>
    </xf>
    <xf numFmtId="0" fontId="54" fillId="20" borderId="2" xfId="0" applyFont="1" applyFill="1" applyBorder="1" applyAlignment="1">
      <alignment horizontal="center" vertical="center"/>
    </xf>
    <xf numFmtId="0" fontId="55" fillId="20" borderId="2" xfId="0" applyFont="1" applyFill="1" applyBorder="1" applyAlignment="1">
      <alignment horizontal="left" vertical="center"/>
    </xf>
    <xf numFmtId="0" fontId="56" fillId="20" borderId="2" xfId="0" applyFont="1" applyFill="1" applyBorder="1" applyAlignment="1">
      <alignment horizontal="center" vertical="center"/>
    </xf>
    <xf numFmtId="0" fontId="56" fillId="20" borderId="2" xfId="0" applyFont="1" applyFill="1" applyBorder="1" applyAlignment="1">
      <alignment horizontal="left" vertical="center"/>
    </xf>
    <xf numFmtId="0" fontId="44" fillId="20" borderId="2" xfId="0" applyFont="1" applyFill="1" applyBorder="1" applyAlignment="1">
      <alignment horizontal="left" vertical="center"/>
    </xf>
    <xf numFmtId="0" fontId="57" fillId="0" borderId="0" xfId="0" applyFont="1"/>
    <xf numFmtId="0" fontId="58" fillId="20" borderId="2" xfId="0" applyFont="1" applyFill="1" applyBorder="1" applyAlignment="1">
      <alignment horizontal="center" vertical="center"/>
    </xf>
    <xf numFmtId="0" fontId="59" fillId="20" borderId="2" xfId="0" applyFont="1" applyFill="1" applyBorder="1" applyAlignment="1">
      <alignment horizontal="center" vertical="center"/>
    </xf>
    <xf numFmtId="0" fontId="60" fillId="20" borderId="2" xfId="0" applyFont="1" applyFill="1" applyBorder="1" applyAlignment="1">
      <alignment horizontal="center" vertical="center"/>
    </xf>
    <xf numFmtId="0" fontId="61" fillId="20" borderId="2" xfId="0" applyFont="1" applyFill="1" applyBorder="1" applyAlignment="1">
      <alignment horizontal="center" vertical="center"/>
    </xf>
    <xf numFmtId="0" fontId="30" fillId="21" borderId="2" xfId="0" applyFont="1" applyFill="1" applyBorder="1" applyAlignment="1">
      <alignment horizontal="center" vertical="center"/>
    </xf>
    <xf numFmtId="0" fontId="9" fillId="21" borderId="2" xfId="0" applyFont="1" applyFill="1" applyBorder="1" applyAlignment="1">
      <alignment horizontal="center" vertical="center"/>
    </xf>
    <xf numFmtId="0" fontId="39" fillId="21" borderId="2" xfId="0" applyFont="1" applyFill="1" applyBorder="1" applyAlignment="1">
      <alignment horizontal="center" vertical="center"/>
    </xf>
    <xf numFmtId="0" fontId="59" fillId="21" borderId="2" xfId="0" applyFont="1" applyFill="1" applyBorder="1" applyAlignment="1">
      <alignment horizontal="center" vertical="center"/>
    </xf>
    <xf numFmtId="0" fontId="32" fillId="21" borderId="2" xfId="0" applyFont="1" applyFill="1" applyBorder="1" applyAlignment="1">
      <alignment horizontal="center" vertical="center"/>
    </xf>
    <xf numFmtId="0" fontId="37" fillId="21" borderId="2" xfId="0" applyFont="1" applyFill="1" applyBorder="1" applyAlignment="1">
      <alignment horizontal="center" vertical="center"/>
    </xf>
    <xf numFmtId="49" fontId="34" fillId="21" borderId="2" xfId="0" applyNumberFormat="1" applyFont="1" applyFill="1" applyBorder="1" applyAlignment="1">
      <alignment horizontal="center" vertical="center"/>
    </xf>
    <xf numFmtId="0" fontId="35" fillId="21" borderId="2" xfId="0" applyFont="1" applyFill="1" applyBorder="1" applyAlignment="1">
      <alignment horizontal="left" vertical="center"/>
    </xf>
    <xf numFmtId="0" fontId="32" fillId="21" borderId="2" xfId="0" applyFont="1" applyFill="1" applyBorder="1" applyAlignment="1">
      <alignment horizontal="left" vertical="center"/>
    </xf>
    <xf numFmtId="0" fontId="36" fillId="21" borderId="2" xfId="0" applyFont="1" applyFill="1" applyBorder="1" applyAlignment="1">
      <alignment horizontal="center" vertical="center"/>
    </xf>
    <xf numFmtId="0" fontId="21" fillId="21" borderId="2" xfId="0" applyFont="1" applyFill="1" applyBorder="1" applyAlignment="1">
      <alignment horizontal="center" vertical="center"/>
    </xf>
    <xf numFmtId="0" fontId="38" fillId="21" borderId="2" xfId="0" applyFont="1" applyFill="1" applyBorder="1" applyAlignment="1">
      <alignment horizontal="left" vertical="center"/>
    </xf>
    <xf numFmtId="0" fontId="39" fillId="21" borderId="2" xfId="0" applyFont="1" applyFill="1" applyBorder="1" applyAlignment="1">
      <alignment horizontal="left" vertical="center"/>
    </xf>
    <xf numFmtId="0" fontId="30" fillId="21" borderId="2" xfId="0" applyFont="1" applyFill="1" applyBorder="1" applyAlignment="1">
      <alignment horizontal="left" vertical="center"/>
    </xf>
    <xf numFmtId="0" fontId="44" fillId="22" borderId="2" xfId="0" applyFont="1" applyFill="1" applyBorder="1" applyAlignment="1">
      <alignment horizontal="center" vertical="center"/>
    </xf>
    <xf numFmtId="0" fontId="62" fillId="22" borderId="2" xfId="0" applyFont="1" applyFill="1" applyBorder="1" applyAlignment="1">
      <alignment horizontal="center" vertical="center"/>
    </xf>
    <xf numFmtId="0" fontId="48" fillId="22" borderId="2" xfId="0" applyFont="1" applyFill="1" applyBorder="1" applyAlignment="1">
      <alignment horizontal="center" vertical="center"/>
    </xf>
    <xf numFmtId="0" fontId="49" fillId="22" borderId="2" xfId="0" applyFont="1" applyFill="1" applyBorder="1" applyAlignment="1">
      <alignment horizontal="center" vertical="center"/>
    </xf>
    <xf numFmtId="49" fontId="50" fillId="22" borderId="2" xfId="0" applyNumberFormat="1" applyFont="1" applyFill="1" applyBorder="1" applyAlignment="1">
      <alignment horizontal="center" vertical="center"/>
    </xf>
    <xf numFmtId="0" fontId="51" fillId="22" borderId="2" xfId="0" applyFont="1" applyFill="1" applyBorder="1" applyAlignment="1">
      <alignment horizontal="left" vertical="center"/>
    </xf>
    <xf numFmtId="0" fontId="48" fillId="22" borderId="2" xfId="0" applyFont="1" applyFill="1" applyBorder="1" applyAlignment="1">
      <alignment horizontal="left" vertical="center"/>
    </xf>
    <xf numFmtId="0" fontId="52" fillId="22" borderId="2" xfId="0" applyFont="1" applyFill="1" applyBorder="1" applyAlignment="1">
      <alignment horizontal="center" vertical="center"/>
    </xf>
    <xf numFmtId="0" fontId="53" fillId="22" borderId="2" xfId="0" applyFont="1" applyFill="1" applyBorder="1" applyAlignment="1">
      <alignment horizontal="center" vertical="center"/>
    </xf>
    <xf numFmtId="0" fontId="54" fillId="22" borderId="2" xfId="0" applyFont="1" applyFill="1" applyBorder="1" applyAlignment="1">
      <alignment horizontal="center" vertical="center"/>
    </xf>
    <xf numFmtId="0" fontId="55" fillId="22" borderId="2" xfId="0" applyFont="1" applyFill="1" applyBorder="1" applyAlignment="1">
      <alignment horizontal="left" vertical="center"/>
    </xf>
    <xf numFmtId="0" fontId="56" fillId="22" borderId="2" xfId="0" applyFont="1" applyFill="1" applyBorder="1" applyAlignment="1">
      <alignment horizontal="center" vertical="center"/>
    </xf>
    <xf numFmtId="0" fontId="56" fillId="22" borderId="2" xfId="0" applyFont="1" applyFill="1" applyBorder="1" applyAlignment="1">
      <alignment horizontal="left" vertical="center"/>
    </xf>
    <xf numFmtId="0" fontId="44" fillId="22" borderId="2" xfId="0" applyFont="1" applyFill="1" applyBorder="1" applyAlignment="1">
      <alignment horizontal="left" vertical="center"/>
    </xf>
    <xf numFmtId="0" fontId="44" fillId="16" borderId="2" xfId="0" applyFont="1" applyFill="1" applyBorder="1" applyAlignment="1">
      <alignment horizontal="center" vertical="center"/>
    </xf>
    <xf numFmtId="0" fontId="62" fillId="16" borderId="2" xfId="0" applyFont="1" applyFill="1" applyBorder="1" applyAlignment="1">
      <alignment horizontal="center" vertical="center"/>
    </xf>
    <xf numFmtId="0" fontId="48" fillId="16" borderId="2" xfId="0" applyFont="1" applyFill="1" applyBorder="1" applyAlignment="1">
      <alignment horizontal="center" vertical="center"/>
    </xf>
    <xf numFmtId="0" fontId="53" fillId="16" borderId="2" xfId="0" applyFont="1" applyFill="1" applyBorder="1" applyAlignment="1">
      <alignment horizontal="center" vertical="center"/>
    </xf>
    <xf numFmtId="49" fontId="50" fillId="16" borderId="2" xfId="0" applyNumberFormat="1" applyFont="1" applyFill="1" applyBorder="1" applyAlignment="1">
      <alignment horizontal="center" vertical="center"/>
    </xf>
    <xf numFmtId="0" fontId="51" fillId="16" borderId="2" xfId="0" applyFont="1" applyFill="1" applyBorder="1" applyAlignment="1">
      <alignment horizontal="left" vertical="center"/>
    </xf>
    <xf numFmtId="0" fontId="48" fillId="16" borderId="2" xfId="0" applyFont="1" applyFill="1" applyBorder="1" applyAlignment="1">
      <alignment horizontal="left" vertical="center"/>
    </xf>
    <xf numFmtId="0" fontId="61" fillId="16" borderId="2" xfId="0" applyFont="1" applyFill="1" applyBorder="1" applyAlignment="1">
      <alignment horizontal="center" vertical="center"/>
    </xf>
    <xf numFmtId="0" fontId="54" fillId="16" borderId="2" xfId="0" applyFont="1" applyFill="1" applyBorder="1" applyAlignment="1">
      <alignment horizontal="center" vertical="center"/>
    </xf>
    <xf numFmtId="0" fontId="55" fillId="16" borderId="2" xfId="0" applyFont="1" applyFill="1" applyBorder="1" applyAlignment="1">
      <alignment horizontal="left" vertical="center"/>
    </xf>
    <xf numFmtId="0" fontId="56" fillId="16" borderId="2" xfId="0" applyFont="1" applyFill="1" applyBorder="1" applyAlignment="1">
      <alignment horizontal="center" vertical="center"/>
    </xf>
    <xf numFmtId="0" fontId="56" fillId="16" borderId="2" xfId="0" applyFont="1" applyFill="1" applyBorder="1" applyAlignment="1">
      <alignment horizontal="left" vertical="center"/>
    </xf>
    <xf numFmtId="0" fontId="44" fillId="16" borderId="2" xfId="0" applyFont="1" applyFill="1" applyBorder="1" applyAlignment="1">
      <alignment horizontal="left" vertical="center"/>
    </xf>
    <xf numFmtId="0" fontId="30" fillId="18" borderId="2" xfId="0" applyFont="1" applyFill="1" applyBorder="1" applyAlignment="1">
      <alignment horizontal="center" vertical="center"/>
    </xf>
    <xf numFmtId="0" fontId="63" fillId="18" borderId="2" xfId="0" applyFont="1" applyFill="1" applyBorder="1" applyAlignment="1">
      <alignment horizontal="center" vertical="center"/>
    </xf>
    <xf numFmtId="0" fontId="5" fillId="18" borderId="2" xfId="0" applyFont="1" applyFill="1" applyBorder="1" applyAlignment="1">
      <alignment horizontal="center" vertical="center"/>
    </xf>
    <xf numFmtId="0" fontId="32" fillId="18" borderId="2" xfId="0" applyFont="1" applyFill="1" applyBorder="1" applyAlignment="1">
      <alignment horizontal="center" vertical="center"/>
    </xf>
    <xf numFmtId="0" fontId="37" fillId="18" borderId="2" xfId="0" applyFont="1" applyFill="1" applyBorder="1" applyAlignment="1">
      <alignment horizontal="center" vertical="center"/>
    </xf>
    <xf numFmtId="49" fontId="34" fillId="18" borderId="2" xfId="0" applyNumberFormat="1" applyFont="1" applyFill="1" applyBorder="1" applyAlignment="1">
      <alignment horizontal="center" vertical="center"/>
    </xf>
    <xf numFmtId="0" fontId="35" fillId="18" borderId="2" xfId="0" applyFont="1" applyFill="1" applyBorder="1" applyAlignment="1">
      <alignment horizontal="left" vertical="center"/>
    </xf>
    <xf numFmtId="0" fontId="32" fillId="18" borderId="2" xfId="0" applyFont="1" applyFill="1" applyBorder="1" applyAlignment="1">
      <alignment horizontal="left" vertical="center"/>
    </xf>
    <xf numFmtId="0" fontId="31" fillId="18" borderId="2" xfId="0" applyFont="1" applyFill="1" applyBorder="1" applyAlignment="1">
      <alignment horizontal="center" vertical="center"/>
    </xf>
    <xf numFmtId="0" fontId="21" fillId="18" borderId="2" xfId="0" applyFont="1" applyFill="1" applyBorder="1" applyAlignment="1">
      <alignment horizontal="center" vertical="center"/>
    </xf>
    <xf numFmtId="0" fontId="38" fillId="18" borderId="2" xfId="0" applyFont="1" applyFill="1" applyBorder="1" applyAlignment="1">
      <alignment horizontal="left" vertical="center"/>
    </xf>
    <xf numFmtId="0" fontId="39" fillId="18" borderId="2" xfId="0" applyFont="1" applyFill="1" applyBorder="1" applyAlignment="1">
      <alignment horizontal="center" vertical="center"/>
    </xf>
    <xf numFmtId="0" fontId="39" fillId="18" borderId="2" xfId="0" applyFont="1" applyFill="1" applyBorder="1" applyAlignment="1">
      <alignment horizontal="left" vertical="center"/>
    </xf>
    <xf numFmtId="0" fontId="30" fillId="18" borderId="2" xfId="0" applyFont="1" applyFill="1" applyBorder="1" applyAlignment="1">
      <alignment horizontal="left" vertical="center"/>
    </xf>
    <xf numFmtId="0" fontId="30" fillId="22" borderId="2" xfId="0" applyFont="1" applyFill="1" applyBorder="1" applyAlignment="1">
      <alignment horizontal="center" vertical="center"/>
    </xf>
    <xf numFmtId="0" fontId="63" fillId="22" borderId="2" xfId="0" applyFont="1" applyFill="1" applyBorder="1" applyAlignment="1">
      <alignment horizontal="center" vertical="center"/>
    </xf>
    <xf numFmtId="0" fontId="5" fillId="22" borderId="2" xfId="0" applyFont="1" applyFill="1" applyBorder="1" applyAlignment="1">
      <alignment horizontal="center" vertical="center"/>
    </xf>
    <xf numFmtId="0" fontId="32" fillId="22" borderId="2" xfId="0" applyFont="1" applyFill="1" applyBorder="1" applyAlignment="1">
      <alignment horizontal="center" vertical="center"/>
    </xf>
    <xf numFmtId="0" fontId="37" fillId="22" borderId="2" xfId="0" applyFont="1" applyFill="1" applyBorder="1" applyAlignment="1">
      <alignment horizontal="center" vertical="center"/>
    </xf>
    <xf numFmtId="49" fontId="34" fillId="22" borderId="2" xfId="0" applyNumberFormat="1" applyFont="1" applyFill="1" applyBorder="1" applyAlignment="1">
      <alignment horizontal="center" vertical="center"/>
    </xf>
    <xf numFmtId="0" fontId="35" fillId="22" borderId="2" xfId="0" applyFont="1" applyFill="1" applyBorder="1" applyAlignment="1">
      <alignment horizontal="left" vertical="center"/>
    </xf>
    <xf numFmtId="0" fontId="32" fillId="22" borderId="2" xfId="0" applyFont="1" applyFill="1" applyBorder="1" applyAlignment="1">
      <alignment horizontal="left" vertical="center"/>
    </xf>
    <xf numFmtId="0" fontId="36" fillId="22" borderId="2" xfId="0" applyFont="1" applyFill="1" applyBorder="1" applyAlignment="1">
      <alignment horizontal="center" vertical="center"/>
    </xf>
    <xf numFmtId="0" fontId="43" fillId="22" borderId="2" xfId="0" applyFont="1" applyFill="1" applyBorder="1" applyAlignment="1">
      <alignment horizontal="center" vertical="center"/>
    </xf>
    <xf numFmtId="0" fontId="38" fillId="22" borderId="2" xfId="0" applyFont="1" applyFill="1" applyBorder="1" applyAlignment="1">
      <alignment horizontal="left" vertical="center"/>
    </xf>
    <xf numFmtId="0" fontId="39" fillId="22" borderId="2" xfId="0" applyFont="1" applyFill="1" applyBorder="1" applyAlignment="1">
      <alignment horizontal="center" vertical="center"/>
    </xf>
    <xf numFmtId="0" fontId="39" fillId="22" borderId="2" xfId="0" applyFont="1" applyFill="1" applyBorder="1" applyAlignment="1">
      <alignment horizontal="left" vertical="center"/>
    </xf>
    <xf numFmtId="0" fontId="30" fillId="22" borderId="2" xfId="0" applyFont="1" applyFill="1" applyBorder="1" applyAlignment="1">
      <alignment horizontal="left" vertical="center"/>
    </xf>
    <xf numFmtId="0" fontId="40" fillId="22" borderId="2" xfId="0" applyFont="1" applyFill="1" applyBorder="1" applyAlignment="1">
      <alignment horizontal="left" vertical="center"/>
    </xf>
    <xf numFmtId="0" fontId="33" fillId="18" borderId="2" xfId="0" applyFont="1" applyFill="1" applyBorder="1" applyAlignment="1">
      <alignment horizontal="center" vertical="center"/>
    </xf>
    <xf numFmtId="0" fontId="40" fillId="18" borderId="2" xfId="0" applyFont="1" applyFill="1" applyBorder="1" applyAlignment="1">
      <alignment horizontal="left" vertical="center"/>
    </xf>
    <xf numFmtId="0" fontId="21" fillId="22" borderId="2" xfId="0" applyFont="1" applyFill="1" applyBorder="1" applyAlignment="1">
      <alignment horizontal="center" vertical="center"/>
    </xf>
    <xf numFmtId="0" fontId="64" fillId="22" borderId="2" xfId="0" applyFont="1" applyFill="1" applyBorder="1" applyAlignment="1">
      <alignment horizontal="center" vertical="center"/>
    </xf>
    <xf numFmtId="0" fontId="33" fillId="22" borderId="2" xfId="0" applyFont="1" applyFill="1" applyBorder="1" applyAlignment="1">
      <alignment horizontal="center" vertical="center"/>
    </xf>
    <xf numFmtId="0" fontId="30" fillId="23" borderId="2" xfId="0" applyFont="1" applyFill="1" applyBorder="1" applyAlignment="1">
      <alignment horizontal="center" vertical="center"/>
    </xf>
    <xf numFmtId="0" fontId="63" fillId="23" borderId="2" xfId="0" applyFont="1" applyFill="1" applyBorder="1" applyAlignment="1">
      <alignment horizontal="center" vertical="center"/>
    </xf>
    <xf numFmtId="0" fontId="41" fillId="23" borderId="2" xfId="0" applyFont="1" applyFill="1" applyBorder="1" applyAlignment="1">
      <alignment horizontal="center" vertical="center"/>
    </xf>
    <xf numFmtId="0" fontId="5" fillId="23" borderId="2" xfId="0" applyFont="1" applyFill="1" applyBorder="1" applyAlignment="1">
      <alignment horizontal="center" vertical="center"/>
    </xf>
    <xf numFmtId="0" fontId="32" fillId="23" borderId="2" xfId="0" applyFont="1" applyFill="1" applyBorder="1" applyAlignment="1">
      <alignment horizontal="center" vertical="center"/>
    </xf>
    <xf numFmtId="0" fontId="37" fillId="23" borderId="2" xfId="0" applyFont="1" applyFill="1" applyBorder="1" applyAlignment="1">
      <alignment horizontal="center" vertical="center"/>
    </xf>
    <xf numFmtId="49" fontId="34" fillId="23" borderId="2" xfId="0" applyNumberFormat="1" applyFont="1" applyFill="1" applyBorder="1" applyAlignment="1">
      <alignment horizontal="center" vertical="center"/>
    </xf>
    <xf numFmtId="0" fontId="35" fillId="23" borderId="2" xfId="0" applyFont="1" applyFill="1" applyBorder="1" applyAlignment="1">
      <alignment horizontal="left" vertical="center"/>
    </xf>
    <xf numFmtId="0" fontId="32" fillId="23" borderId="2" xfId="0" applyFont="1" applyFill="1" applyBorder="1" applyAlignment="1">
      <alignment horizontal="left" vertical="center"/>
    </xf>
    <xf numFmtId="0" fontId="36" fillId="23" borderId="2" xfId="0" applyFont="1" applyFill="1" applyBorder="1" applyAlignment="1">
      <alignment horizontal="center" vertical="center"/>
    </xf>
    <xf numFmtId="0" fontId="43" fillId="23" borderId="2" xfId="0" applyFont="1" applyFill="1" applyBorder="1" applyAlignment="1">
      <alignment horizontal="center" vertical="center"/>
    </xf>
    <xf numFmtId="0" fontId="38" fillId="23" borderId="2" xfId="0" applyFont="1" applyFill="1" applyBorder="1" applyAlignment="1">
      <alignment horizontal="left" vertical="center"/>
    </xf>
    <xf numFmtId="0" fontId="39" fillId="23" borderId="2" xfId="0" applyFont="1" applyFill="1" applyBorder="1" applyAlignment="1">
      <alignment horizontal="center" vertical="center"/>
    </xf>
    <xf numFmtId="0" fontId="39" fillId="23" borderId="2" xfId="0" applyFont="1" applyFill="1" applyBorder="1" applyAlignment="1">
      <alignment horizontal="left" vertical="center"/>
    </xf>
    <xf numFmtId="0" fontId="30" fillId="23" borderId="2" xfId="0" applyFont="1" applyFill="1" applyBorder="1" applyAlignment="1">
      <alignment horizontal="left" vertical="center"/>
    </xf>
    <xf numFmtId="0" fontId="63" fillId="21" borderId="2" xfId="0" applyFont="1" applyFill="1" applyBorder="1" applyAlignment="1">
      <alignment horizontal="center" vertical="center"/>
    </xf>
    <xf numFmtId="0" fontId="41" fillId="21" borderId="2" xfId="0" applyFont="1" applyFill="1" applyBorder="1" applyAlignment="1">
      <alignment horizontal="center" vertical="center"/>
    </xf>
    <xf numFmtId="0" fontId="5" fillId="21" borderId="2" xfId="0" applyFont="1" applyFill="1" applyBorder="1" applyAlignment="1">
      <alignment horizontal="center" vertical="center"/>
    </xf>
    <xf numFmtId="0" fontId="43" fillId="21" borderId="2" xfId="0" applyFont="1" applyFill="1" applyBorder="1" applyAlignment="1">
      <alignment horizontal="center" vertical="center"/>
    </xf>
    <xf numFmtId="0" fontId="40" fillId="21" borderId="2" xfId="0" applyFont="1" applyFill="1" applyBorder="1" applyAlignment="1">
      <alignment horizontal="left" vertical="center"/>
    </xf>
    <xf numFmtId="0" fontId="21" fillId="23" borderId="2" xfId="0" applyFont="1" applyFill="1" applyBorder="1" applyAlignment="1">
      <alignment horizontal="center" vertical="center"/>
    </xf>
    <xf numFmtId="0" fontId="40" fillId="23" borderId="2" xfId="0" applyFont="1" applyFill="1" applyBorder="1" applyAlignment="1">
      <alignment horizontal="left" vertical="center"/>
    </xf>
    <xf numFmtId="0" fontId="33" fillId="21" borderId="2" xfId="0" applyFont="1" applyFill="1" applyBorder="1" applyAlignment="1">
      <alignment horizontal="center" vertical="center"/>
    </xf>
    <xf numFmtId="0" fontId="58" fillId="23" borderId="2" xfId="0" applyFont="1" applyFill="1" applyBorder="1" applyAlignment="1">
      <alignment horizontal="center" vertical="center"/>
    </xf>
    <xf numFmtId="0" fontId="58" fillId="21" borderId="2" xfId="0" applyFont="1" applyFill="1" applyBorder="1" applyAlignment="1">
      <alignment horizontal="center" vertical="center"/>
    </xf>
    <xf numFmtId="0" fontId="42" fillId="18" borderId="2" xfId="0" applyFont="1" applyFill="1" applyBorder="1" applyAlignment="1">
      <alignment horizontal="center" vertical="center"/>
    </xf>
    <xf numFmtId="0" fontId="42" fillId="22" borderId="2" xfId="0" applyFont="1" applyFill="1" applyBorder="1" applyAlignment="1">
      <alignment horizontal="center" vertical="center"/>
    </xf>
    <xf numFmtId="0" fontId="42" fillId="23" borderId="2" xfId="0" applyFont="1" applyFill="1" applyBorder="1" applyAlignment="1">
      <alignment horizontal="center" vertical="center"/>
    </xf>
    <xf numFmtId="0" fontId="42" fillId="21" borderId="2" xfId="0" applyFont="1" applyFill="1" applyBorder="1" applyAlignment="1">
      <alignment horizontal="center" vertical="center"/>
    </xf>
    <xf numFmtId="0" fontId="33" fillId="23" borderId="2" xfId="0" applyFont="1" applyFill="1" applyBorder="1" applyAlignment="1">
      <alignment horizontal="center" vertical="center"/>
    </xf>
    <xf numFmtId="0" fontId="30" fillId="16" borderId="2" xfId="0" applyFont="1" applyFill="1" applyBorder="1" applyAlignment="1">
      <alignment horizontal="center" vertical="center"/>
    </xf>
    <xf numFmtId="0" fontId="63" fillId="16" borderId="2" xfId="0" applyFont="1" applyFill="1" applyBorder="1" applyAlignment="1">
      <alignment horizontal="center" vertical="center"/>
    </xf>
    <xf numFmtId="0" fontId="41" fillId="16" borderId="2" xfId="0" applyFont="1" applyFill="1" applyBorder="1" applyAlignment="1">
      <alignment horizontal="center" vertical="center"/>
    </xf>
    <xf numFmtId="0" fontId="42" fillId="16" borderId="2" xfId="0" applyFont="1" applyFill="1" applyBorder="1" applyAlignment="1">
      <alignment horizontal="center" vertical="center"/>
    </xf>
    <xf numFmtId="0" fontId="32" fillId="16" borderId="2" xfId="0" applyFont="1" applyFill="1" applyBorder="1" applyAlignment="1">
      <alignment horizontal="center" vertical="center"/>
    </xf>
    <xf numFmtId="0" fontId="37" fillId="16" borderId="2" xfId="0" applyFont="1" applyFill="1" applyBorder="1" applyAlignment="1">
      <alignment horizontal="center" vertical="center"/>
    </xf>
    <xf numFmtId="49" fontId="34" fillId="16" borderId="2" xfId="0" applyNumberFormat="1" applyFont="1" applyFill="1" applyBorder="1" applyAlignment="1">
      <alignment horizontal="center" vertical="center"/>
    </xf>
    <xf numFmtId="0" fontId="35" fillId="16" borderId="2" xfId="0" applyFont="1" applyFill="1" applyBorder="1" applyAlignment="1">
      <alignment horizontal="left" vertical="center"/>
    </xf>
    <xf numFmtId="0" fontId="32" fillId="16" borderId="2" xfId="0" applyFont="1" applyFill="1" applyBorder="1" applyAlignment="1">
      <alignment horizontal="left" vertical="center"/>
    </xf>
    <xf numFmtId="0" fontId="59" fillId="16" borderId="2" xfId="0" applyFont="1" applyFill="1" applyBorder="1" applyAlignment="1">
      <alignment horizontal="center" vertical="center"/>
    </xf>
    <xf numFmtId="0" fontId="21" fillId="16" borderId="2" xfId="0" applyFont="1" applyFill="1" applyBorder="1" applyAlignment="1">
      <alignment horizontal="center" vertical="center"/>
    </xf>
    <xf numFmtId="0" fontId="38" fillId="16" borderId="2" xfId="0" applyFont="1" applyFill="1" applyBorder="1" applyAlignment="1">
      <alignment horizontal="left" vertical="center"/>
    </xf>
    <xf numFmtId="0" fontId="39" fillId="16" borderId="2" xfId="0" applyFont="1" applyFill="1" applyBorder="1" applyAlignment="1">
      <alignment horizontal="center" vertical="center"/>
    </xf>
    <xf numFmtId="0" fontId="39" fillId="16" borderId="2" xfId="0" applyFont="1" applyFill="1" applyBorder="1" applyAlignment="1">
      <alignment horizontal="left" vertical="center"/>
    </xf>
    <xf numFmtId="0" fontId="30" fillId="16" borderId="2" xfId="0" applyFont="1" applyFill="1" applyBorder="1" applyAlignment="1">
      <alignment horizontal="left" vertical="center"/>
    </xf>
    <xf numFmtId="0" fontId="44" fillId="23" borderId="2" xfId="0" applyFont="1" applyFill="1" applyBorder="1" applyAlignment="1">
      <alignment horizontal="center" vertical="center"/>
    </xf>
    <xf numFmtId="0" fontId="64" fillId="23" borderId="2" xfId="0" applyFont="1" applyFill="1" applyBorder="1" applyAlignment="1">
      <alignment horizontal="center" vertical="center"/>
    </xf>
    <xf numFmtId="0" fontId="65" fillId="23" borderId="2" xfId="0" applyFont="1" applyFill="1" applyBorder="1" applyAlignment="1">
      <alignment horizontal="center" vertical="center"/>
    </xf>
    <xf numFmtId="0" fontId="47" fillId="23" borderId="2" xfId="0" applyFont="1" applyFill="1" applyBorder="1" applyAlignment="1">
      <alignment horizontal="center" vertical="center"/>
    </xf>
    <xf numFmtId="0" fontId="48" fillId="23" borderId="2" xfId="0" applyFont="1" applyFill="1" applyBorder="1" applyAlignment="1">
      <alignment horizontal="center" vertical="center"/>
    </xf>
    <xf numFmtId="0" fontId="53" fillId="23" borderId="2" xfId="0" applyFont="1" applyFill="1" applyBorder="1" applyAlignment="1">
      <alignment horizontal="center" vertical="center"/>
    </xf>
    <xf numFmtId="49" fontId="50" fillId="23" borderId="2" xfId="0" applyNumberFormat="1" applyFont="1" applyFill="1" applyBorder="1" applyAlignment="1">
      <alignment horizontal="center" vertical="center"/>
    </xf>
    <xf numFmtId="0" fontId="51" fillId="23" borderId="2" xfId="0" applyFont="1" applyFill="1" applyBorder="1" applyAlignment="1">
      <alignment horizontal="left" vertical="center"/>
    </xf>
    <xf numFmtId="0" fontId="48" fillId="23" borderId="2" xfId="0" applyFont="1" applyFill="1" applyBorder="1" applyAlignment="1">
      <alignment horizontal="left" vertical="center"/>
    </xf>
    <xf numFmtId="0" fontId="52" fillId="23" borderId="2" xfId="0" applyFont="1" applyFill="1" applyBorder="1" applyAlignment="1">
      <alignment horizontal="center" vertical="center"/>
    </xf>
    <xf numFmtId="0" fontId="54" fillId="23" borderId="2" xfId="0" applyFont="1" applyFill="1" applyBorder="1" applyAlignment="1">
      <alignment horizontal="center" vertical="center"/>
    </xf>
    <xf numFmtId="0" fontId="55" fillId="23" borderId="2" xfId="0" applyFont="1" applyFill="1" applyBorder="1" applyAlignment="1">
      <alignment horizontal="left" vertical="center"/>
    </xf>
    <xf numFmtId="0" fontId="56" fillId="23" borderId="2" xfId="0" applyFont="1" applyFill="1" applyBorder="1" applyAlignment="1">
      <alignment horizontal="center" vertical="center"/>
    </xf>
    <xf numFmtId="0" fontId="56" fillId="23" borderId="2" xfId="0" applyFont="1" applyFill="1" applyBorder="1" applyAlignment="1">
      <alignment horizontal="left" vertical="center"/>
    </xf>
    <xf numFmtId="0" fontId="44" fillId="23" borderId="2" xfId="0" applyFont="1" applyFill="1" applyBorder="1" applyAlignment="1">
      <alignment horizontal="left" vertical="center"/>
    </xf>
    <xf numFmtId="0" fontId="66" fillId="21" borderId="2" xfId="0" applyFont="1" applyFill="1" applyBorder="1" applyAlignment="1">
      <alignment horizontal="center" vertical="center"/>
    </xf>
    <xf numFmtId="0" fontId="66" fillId="23" borderId="2" xfId="0" applyFont="1" applyFill="1" applyBorder="1" applyAlignment="1">
      <alignment horizontal="center" vertical="center"/>
    </xf>
    <xf numFmtId="0" fontId="59" fillId="23" borderId="2" xfId="0" applyFont="1" applyFill="1" applyBorder="1" applyAlignment="1">
      <alignment horizontal="center" vertical="center"/>
    </xf>
    <xf numFmtId="0" fontId="67" fillId="23" borderId="2" xfId="0" applyFont="1" applyFill="1" applyBorder="1" applyAlignment="1">
      <alignment horizontal="center" vertical="center"/>
    </xf>
    <xf numFmtId="0" fontId="38" fillId="0" borderId="0" xfId="0" applyFont="1" applyAlignment="1">
      <alignment horizontal="left" vertical="center"/>
    </xf>
    <xf numFmtId="0" fontId="68" fillId="12" borderId="1" xfId="0" applyFont="1" applyFill="1" applyBorder="1" applyAlignment="1">
      <alignment horizontal="left" vertical="center"/>
    </xf>
    <xf numFmtId="0" fontId="70" fillId="0" borderId="0" xfId="0" applyFont="1" applyAlignment="1">
      <alignment horizontal="left" vertical="center"/>
    </xf>
    <xf numFmtId="0" fontId="73" fillId="24" borderId="3" xfId="0" applyFont="1" applyFill="1" applyBorder="1" applyAlignment="1">
      <alignment horizontal="center" vertical="center" wrapText="1"/>
    </xf>
    <xf numFmtId="0" fontId="74" fillId="26" borderId="3" xfId="0" applyFont="1" applyFill="1" applyBorder="1" applyAlignment="1">
      <alignment horizontal="center" vertical="center"/>
    </xf>
    <xf numFmtId="0" fontId="75" fillId="26" borderId="3" xfId="0" applyFont="1" applyFill="1" applyBorder="1" applyAlignment="1">
      <alignment horizontal="center" vertical="center"/>
    </xf>
    <xf numFmtId="0" fontId="76" fillId="26" borderId="3" xfId="0" applyFont="1" applyFill="1" applyBorder="1" applyAlignment="1">
      <alignment horizontal="left" vertical="center"/>
    </xf>
    <xf numFmtId="0" fontId="77" fillId="26" borderId="3" xfId="0" applyFont="1" applyFill="1" applyBorder="1" applyAlignment="1">
      <alignment horizontal="center" vertical="center"/>
    </xf>
    <xf numFmtId="0" fontId="78" fillId="26" borderId="3" xfId="0" applyFont="1" applyFill="1" applyBorder="1" applyAlignment="1">
      <alignment horizontal="left" vertical="center"/>
    </xf>
    <xf numFmtId="0" fontId="79" fillId="26" borderId="3" xfId="0" applyFont="1" applyFill="1" applyBorder="1" applyAlignment="1">
      <alignment horizontal="center" vertical="center"/>
    </xf>
    <xf numFmtId="0" fontId="80" fillId="26" borderId="3" xfId="0" applyFont="1" applyFill="1" applyBorder="1" applyAlignment="1">
      <alignment horizontal="center" vertical="center"/>
    </xf>
    <xf numFmtId="0" fontId="81" fillId="26" borderId="3" xfId="0" applyFont="1" applyFill="1" applyBorder="1" applyAlignment="1">
      <alignment horizontal="center" vertical="center"/>
    </xf>
    <xf numFmtId="0" fontId="82" fillId="26" borderId="3" xfId="0" applyFont="1" applyFill="1" applyBorder="1" applyAlignment="1">
      <alignment horizontal="center" vertical="center"/>
    </xf>
    <xf numFmtId="0" fontId="83" fillId="26" borderId="3" xfId="0" applyFont="1" applyFill="1" applyBorder="1" applyAlignment="1">
      <alignment horizontal="center" vertical="center"/>
    </xf>
    <xf numFmtId="0" fontId="84" fillId="26" borderId="3" xfId="0" applyFont="1" applyFill="1" applyBorder="1" applyAlignment="1">
      <alignment horizontal="center" vertical="center"/>
    </xf>
    <xf numFmtId="0" fontId="85" fillId="26" borderId="3" xfId="0" applyFont="1" applyFill="1" applyBorder="1" applyAlignment="1">
      <alignment horizontal="left" vertical="top" wrapText="1"/>
    </xf>
    <xf numFmtId="0" fontId="86" fillId="26" borderId="3" xfId="0" applyFont="1" applyFill="1" applyBorder="1" applyAlignment="1">
      <alignment horizontal="left" vertical="top" wrapText="1"/>
    </xf>
    <xf numFmtId="0" fontId="87" fillId="26" borderId="3" xfId="0" applyFont="1" applyFill="1" applyBorder="1" applyAlignment="1">
      <alignment horizontal="center" vertical="center"/>
    </xf>
    <xf numFmtId="0" fontId="88" fillId="26" borderId="3" xfId="0" applyFont="1" applyFill="1" applyBorder="1" applyAlignment="1">
      <alignment horizontal="center" vertical="center"/>
    </xf>
    <xf numFmtId="0" fontId="74" fillId="27" borderId="3" xfId="0" applyFont="1" applyFill="1" applyBorder="1" applyAlignment="1">
      <alignment horizontal="center" vertical="center"/>
    </xf>
    <xf numFmtId="0" fontId="75" fillId="27" borderId="3" xfId="0" applyFont="1" applyFill="1" applyBorder="1" applyAlignment="1">
      <alignment horizontal="center" vertical="center"/>
    </xf>
    <xf numFmtId="0" fontId="76" fillId="27" borderId="3" xfId="0" applyFont="1" applyFill="1" applyBorder="1" applyAlignment="1">
      <alignment horizontal="left" vertical="center"/>
    </xf>
    <xf numFmtId="0" fontId="87" fillId="27" borderId="3" xfId="0" applyFont="1" applyFill="1" applyBorder="1" applyAlignment="1">
      <alignment horizontal="center" vertical="center"/>
    </xf>
    <xf numFmtId="0" fontId="78" fillId="27" borderId="3" xfId="0" applyFont="1" applyFill="1" applyBorder="1" applyAlignment="1">
      <alignment horizontal="left" vertical="center"/>
    </xf>
    <xf numFmtId="0" fontId="77" fillId="27" borderId="3" xfId="0" applyFont="1" applyFill="1" applyBorder="1" applyAlignment="1">
      <alignment horizontal="center" vertical="center"/>
    </xf>
    <xf numFmtId="0" fontId="79" fillId="27" borderId="3" xfId="0" applyFont="1" applyFill="1" applyBorder="1" applyAlignment="1">
      <alignment horizontal="center" vertical="center"/>
    </xf>
    <xf numFmtId="0" fontId="80" fillId="27" borderId="3" xfId="0" applyFont="1" applyFill="1" applyBorder="1" applyAlignment="1">
      <alignment horizontal="center" vertical="center"/>
    </xf>
    <xf numFmtId="0" fontId="81" fillId="27" borderId="3" xfId="0" applyFont="1" applyFill="1" applyBorder="1" applyAlignment="1">
      <alignment horizontal="center" vertical="center"/>
    </xf>
    <xf numFmtId="0" fontId="82" fillId="27" borderId="3" xfId="0" applyFont="1" applyFill="1" applyBorder="1" applyAlignment="1">
      <alignment horizontal="center" vertical="center"/>
    </xf>
    <xf numFmtId="0" fontId="83" fillId="27" borderId="3" xfId="0" applyFont="1" applyFill="1" applyBorder="1" applyAlignment="1">
      <alignment horizontal="center" vertical="center"/>
    </xf>
    <xf numFmtId="0" fontId="84" fillId="27" borderId="3" xfId="0" applyFont="1" applyFill="1" applyBorder="1" applyAlignment="1">
      <alignment horizontal="center" vertical="center"/>
    </xf>
    <xf numFmtId="0" fontId="85" fillId="27" borderId="3" xfId="0" applyFont="1" applyFill="1" applyBorder="1" applyAlignment="1">
      <alignment horizontal="left" vertical="top" wrapText="1"/>
    </xf>
    <xf numFmtId="0" fontId="86" fillId="27" borderId="3" xfId="0" applyFont="1" applyFill="1" applyBorder="1" applyAlignment="1">
      <alignment horizontal="left" vertical="top" wrapText="1"/>
    </xf>
    <xf numFmtId="0" fontId="74" fillId="28" borderId="3" xfId="0" applyFont="1" applyFill="1" applyBorder="1" applyAlignment="1">
      <alignment horizontal="center" vertical="center"/>
    </xf>
    <xf numFmtId="0" fontId="75" fillId="28" borderId="3" xfId="0" applyFont="1" applyFill="1" applyBorder="1" applyAlignment="1">
      <alignment horizontal="center" vertical="center"/>
    </xf>
    <xf numFmtId="0" fontId="76" fillId="28" borderId="3" xfId="0" applyFont="1" applyFill="1" applyBorder="1" applyAlignment="1">
      <alignment horizontal="left" vertical="center"/>
    </xf>
    <xf numFmtId="0" fontId="77" fillId="28" borderId="3" xfId="0" applyFont="1" applyFill="1" applyBorder="1" applyAlignment="1">
      <alignment horizontal="center" vertical="center"/>
    </xf>
    <xf numFmtId="0" fontId="78" fillId="28" borderId="3" xfId="0" applyFont="1" applyFill="1" applyBorder="1" applyAlignment="1">
      <alignment horizontal="left" vertical="center"/>
    </xf>
    <xf numFmtId="0" fontId="79" fillId="28" borderId="3" xfId="0" applyFont="1" applyFill="1" applyBorder="1" applyAlignment="1">
      <alignment horizontal="center" vertical="center"/>
    </xf>
    <xf numFmtId="0" fontId="80" fillId="28" borderId="3" xfId="0" applyFont="1" applyFill="1" applyBorder="1" applyAlignment="1">
      <alignment horizontal="center" vertical="center"/>
    </xf>
    <xf numFmtId="0" fontId="81" fillId="28" borderId="3" xfId="0" applyFont="1" applyFill="1" applyBorder="1" applyAlignment="1">
      <alignment horizontal="center" vertical="center"/>
    </xf>
    <xf numFmtId="0" fontId="82" fillId="28" borderId="3" xfId="0" applyFont="1" applyFill="1" applyBorder="1" applyAlignment="1">
      <alignment horizontal="center" vertical="center"/>
    </xf>
    <xf numFmtId="0" fontId="83" fillId="28" borderId="3" xfId="0" applyFont="1" applyFill="1" applyBorder="1" applyAlignment="1">
      <alignment horizontal="center" vertical="center"/>
    </xf>
    <xf numFmtId="0" fontId="84" fillId="28" borderId="3" xfId="0" applyFont="1" applyFill="1" applyBorder="1" applyAlignment="1">
      <alignment horizontal="center" vertical="center"/>
    </xf>
    <xf numFmtId="0" fontId="85" fillId="28" borderId="3" xfId="0" applyFont="1" applyFill="1" applyBorder="1" applyAlignment="1">
      <alignment horizontal="left" vertical="top" wrapText="1"/>
    </xf>
    <xf numFmtId="0" fontId="86" fillId="28" borderId="3" xfId="0" applyFont="1" applyFill="1" applyBorder="1" applyAlignment="1">
      <alignment horizontal="left" vertical="top" wrapText="1"/>
    </xf>
    <xf numFmtId="164" fontId="78" fillId="28" borderId="3" xfId="0" applyNumberFormat="1" applyFont="1" applyFill="1" applyBorder="1" applyAlignment="1">
      <alignment horizontal="left" vertical="center"/>
    </xf>
    <xf numFmtId="0" fontId="88" fillId="28" borderId="3" xfId="0" applyFont="1" applyFill="1" applyBorder="1" applyAlignment="1">
      <alignment horizontal="center" vertical="center"/>
    </xf>
    <xf numFmtId="0" fontId="87" fillId="28" borderId="3" xfId="0" applyFont="1" applyFill="1" applyBorder="1" applyAlignment="1">
      <alignment horizontal="center" vertical="center"/>
    </xf>
    <xf numFmtId="0" fontId="74" fillId="29" borderId="3" xfId="0" applyFont="1" applyFill="1" applyBorder="1" applyAlignment="1">
      <alignment horizontal="center" vertical="center"/>
    </xf>
    <xf numFmtId="0" fontId="75" fillId="29" borderId="3" xfId="0" applyFont="1" applyFill="1" applyBorder="1" applyAlignment="1">
      <alignment horizontal="center" vertical="center"/>
    </xf>
    <xf numFmtId="0" fontId="76" fillId="29" borderId="3" xfId="0" applyFont="1" applyFill="1" applyBorder="1" applyAlignment="1">
      <alignment horizontal="left" vertical="center"/>
    </xf>
    <xf numFmtId="0" fontId="87" fillId="29" borderId="3" xfId="0" applyFont="1" applyFill="1" applyBorder="1" applyAlignment="1">
      <alignment horizontal="center" vertical="center"/>
    </xf>
    <xf numFmtId="0" fontId="78" fillId="29" borderId="3" xfId="0" applyFont="1" applyFill="1" applyBorder="1" applyAlignment="1">
      <alignment horizontal="left" vertical="center"/>
    </xf>
    <xf numFmtId="0" fontId="77" fillId="29" borderId="3" xfId="0" applyFont="1" applyFill="1" applyBorder="1" applyAlignment="1">
      <alignment horizontal="center" vertical="center"/>
    </xf>
    <xf numFmtId="0" fontId="79" fillId="29" borderId="3" xfId="0" applyFont="1" applyFill="1" applyBorder="1" applyAlignment="1">
      <alignment horizontal="center" vertical="center"/>
    </xf>
    <xf numFmtId="0" fontId="80" fillId="29" borderId="3" xfId="0" applyFont="1" applyFill="1" applyBorder="1" applyAlignment="1">
      <alignment horizontal="center" vertical="center"/>
    </xf>
    <xf numFmtId="0" fontId="81" fillId="29" borderId="3" xfId="0" applyFont="1" applyFill="1" applyBorder="1" applyAlignment="1">
      <alignment horizontal="center" vertical="center"/>
    </xf>
    <xf numFmtId="0" fontId="82" fillId="29" borderId="3" xfId="0" applyFont="1" applyFill="1" applyBorder="1" applyAlignment="1">
      <alignment horizontal="center" vertical="center"/>
    </xf>
    <xf numFmtId="0" fontId="83" fillId="29" borderId="3" xfId="0" applyFont="1" applyFill="1" applyBorder="1" applyAlignment="1">
      <alignment horizontal="center" vertical="center"/>
    </xf>
    <xf numFmtId="0" fontId="84" fillId="29" borderId="3" xfId="0" applyFont="1" applyFill="1" applyBorder="1" applyAlignment="1">
      <alignment horizontal="center" vertical="center"/>
    </xf>
    <xf numFmtId="0" fontId="88" fillId="29" borderId="3" xfId="0" applyFont="1" applyFill="1" applyBorder="1" applyAlignment="1">
      <alignment horizontal="center" vertical="center"/>
    </xf>
    <xf numFmtId="0" fontId="85" fillId="29" borderId="3" xfId="0" applyFont="1" applyFill="1" applyBorder="1" applyAlignment="1">
      <alignment horizontal="left" vertical="top" wrapText="1"/>
    </xf>
    <xf numFmtId="0" fontId="86" fillId="29" borderId="3" xfId="0" applyFont="1" applyFill="1" applyBorder="1" applyAlignment="1">
      <alignment horizontal="left" vertical="top" wrapText="1"/>
    </xf>
    <xf numFmtId="0" fontId="74" fillId="30" borderId="3" xfId="0" applyFont="1" applyFill="1" applyBorder="1" applyAlignment="1">
      <alignment horizontal="center" vertical="center"/>
    </xf>
    <xf numFmtId="0" fontId="75" fillId="30" borderId="3" xfId="0" applyFont="1" applyFill="1" applyBorder="1" applyAlignment="1">
      <alignment horizontal="center" vertical="center"/>
    </xf>
    <xf numFmtId="0" fontId="76" fillId="30" borderId="3" xfId="0" applyFont="1" applyFill="1" applyBorder="1" applyAlignment="1">
      <alignment horizontal="left" vertical="center"/>
    </xf>
    <xf numFmtId="0" fontId="77" fillId="30" borderId="3" xfId="0" applyFont="1" applyFill="1" applyBorder="1" applyAlignment="1">
      <alignment horizontal="center" vertical="center"/>
    </xf>
    <xf numFmtId="0" fontId="78" fillId="30" borderId="3" xfId="0" applyFont="1" applyFill="1" applyBorder="1" applyAlignment="1">
      <alignment horizontal="left" vertical="center"/>
    </xf>
    <xf numFmtId="0" fontId="79" fillId="30" borderId="3" xfId="0" applyFont="1" applyFill="1" applyBorder="1" applyAlignment="1">
      <alignment horizontal="center" vertical="center"/>
    </xf>
    <xf numFmtId="0" fontId="80" fillId="30" borderId="3" xfId="0" applyFont="1" applyFill="1" applyBorder="1" applyAlignment="1">
      <alignment horizontal="center" vertical="center"/>
    </xf>
    <xf numFmtId="0" fontId="81" fillId="30" borderId="3" xfId="0" applyFont="1" applyFill="1" applyBorder="1" applyAlignment="1">
      <alignment horizontal="center" vertical="center"/>
    </xf>
    <xf numFmtId="0" fontId="82" fillId="30" borderId="3" xfId="0" applyFont="1" applyFill="1" applyBorder="1" applyAlignment="1">
      <alignment horizontal="center" vertical="center"/>
    </xf>
    <xf numFmtId="0" fontId="83" fillId="30" borderId="3" xfId="0" applyFont="1" applyFill="1" applyBorder="1" applyAlignment="1">
      <alignment horizontal="center" vertical="center"/>
    </xf>
    <xf numFmtId="0" fontId="84" fillId="30" borderId="3" xfId="0" applyFont="1" applyFill="1" applyBorder="1" applyAlignment="1">
      <alignment horizontal="center" vertical="center"/>
    </xf>
    <xf numFmtId="0" fontId="85" fillId="30" borderId="3" xfId="0" applyFont="1" applyFill="1" applyBorder="1" applyAlignment="1">
      <alignment horizontal="left" vertical="top" wrapText="1"/>
    </xf>
    <xf numFmtId="0" fontId="86" fillId="30" borderId="3" xfId="0" applyFont="1" applyFill="1" applyBorder="1" applyAlignment="1">
      <alignment horizontal="left" vertical="top" wrapText="1"/>
    </xf>
    <xf numFmtId="0" fontId="74" fillId="31" borderId="3" xfId="0" applyFont="1" applyFill="1" applyBorder="1" applyAlignment="1">
      <alignment horizontal="center" vertical="center"/>
    </xf>
    <xf numFmtId="0" fontId="75" fillId="31" borderId="3" xfId="0" applyFont="1" applyFill="1" applyBorder="1" applyAlignment="1">
      <alignment horizontal="center" vertical="center"/>
    </xf>
    <xf numFmtId="0" fontId="76" fillId="31" borderId="3" xfId="0" applyFont="1" applyFill="1" applyBorder="1" applyAlignment="1">
      <alignment horizontal="left" vertical="center"/>
    </xf>
    <xf numFmtId="0" fontId="77" fillId="31" borderId="3" xfId="0" applyFont="1" applyFill="1" applyBorder="1" applyAlignment="1">
      <alignment horizontal="center" vertical="center"/>
    </xf>
    <xf numFmtId="0" fontId="78" fillId="31" borderId="3" xfId="0" applyFont="1" applyFill="1" applyBorder="1" applyAlignment="1">
      <alignment horizontal="left" vertical="center"/>
    </xf>
    <xf numFmtId="0" fontId="79" fillId="31" borderId="3" xfId="0" applyFont="1" applyFill="1" applyBorder="1" applyAlignment="1">
      <alignment horizontal="center" vertical="center"/>
    </xf>
    <xf numFmtId="0" fontId="80" fillId="31" borderId="3" xfId="0" applyFont="1" applyFill="1" applyBorder="1" applyAlignment="1">
      <alignment horizontal="center" vertical="center"/>
    </xf>
    <xf numFmtId="0" fontId="81" fillId="31" borderId="3" xfId="0" applyFont="1" applyFill="1" applyBorder="1" applyAlignment="1">
      <alignment horizontal="center" vertical="center"/>
    </xf>
    <xf numFmtId="0" fontId="82" fillId="31" borderId="3" xfId="0" applyFont="1" applyFill="1" applyBorder="1" applyAlignment="1">
      <alignment horizontal="center" vertical="center"/>
    </xf>
    <xf numFmtId="0" fontId="83" fillId="31" borderId="3" xfId="0" applyFont="1" applyFill="1" applyBorder="1" applyAlignment="1">
      <alignment horizontal="center" vertical="center"/>
    </xf>
    <xf numFmtId="0" fontId="88" fillId="31" borderId="3" xfId="0" applyFont="1" applyFill="1" applyBorder="1" applyAlignment="1">
      <alignment horizontal="center" vertical="center"/>
    </xf>
    <xf numFmtId="0" fontId="84" fillId="31" borderId="3" xfId="0" applyFont="1" applyFill="1" applyBorder="1" applyAlignment="1">
      <alignment horizontal="center" vertical="center"/>
    </xf>
    <xf numFmtId="0" fontId="85" fillId="31" borderId="3" xfId="0" applyFont="1" applyFill="1" applyBorder="1" applyAlignment="1">
      <alignment horizontal="left" vertical="top" wrapText="1"/>
    </xf>
    <xf numFmtId="0" fontId="86" fillId="31" borderId="3" xfId="0" applyFont="1" applyFill="1" applyBorder="1" applyAlignment="1">
      <alignment horizontal="left" vertical="top" wrapText="1"/>
    </xf>
    <xf numFmtId="164" fontId="78" fillId="31" borderId="3" xfId="0" applyNumberFormat="1" applyFont="1" applyFill="1" applyBorder="1" applyAlignment="1">
      <alignment horizontal="left" vertical="center"/>
    </xf>
    <xf numFmtId="0" fontId="87" fillId="31" borderId="3" xfId="0" applyFont="1" applyFill="1" applyBorder="1" applyAlignment="1">
      <alignment horizontal="center" vertical="center"/>
    </xf>
    <xf numFmtId="0" fontId="74" fillId="32" borderId="3" xfId="0" applyFont="1" applyFill="1" applyBorder="1" applyAlignment="1">
      <alignment horizontal="center" vertical="center"/>
    </xf>
    <xf numFmtId="0" fontId="75" fillId="32" borderId="3" xfId="0" applyFont="1" applyFill="1" applyBorder="1" applyAlignment="1">
      <alignment horizontal="center" vertical="center"/>
    </xf>
    <xf numFmtId="0" fontId="76" fillId="32" borderId="3" xfId="0" applyFont="1" applyFill="1" applyBorder="1" applyAlignment="1">
      <alignment horizontal="left" vertical="center"/>
    </xf>
    <xf numFmtId="0" fontId="77" fillId="32" borderId="3" xfId="0" applyFont="1" applyFill="1" applyBorder="1" applyAlignment="1">
      <alignment horizontal="center" vertical="center"/>
    </xf>
    <xf numFmtId="0" fontId="78" fillId="32" borderId="3" xfId="0" applyFont="1" applyFill="1" applyBorder="1" applyAlignment="1">
      <alignment horizontal="left" vertical="center"/>
    </xf>
    <xf numFmtId="0" fontId="79" fillId="32" borderId="3" xfId="0" applyFont="1" applyFill="1" applyBorder="1" applyAlignment="1">
      <alignment horizontal="center" vertical="center"/>
    </xf>
    <xf numFmtId="0" fontId="80" fillId="32" borderId="3" xfId="0" applyFont="1" applyFill="1" applyBorder="1" applyAlignment="1">
      <alignment horizontal="center" vertical="center"/>
    </xf>
    <xf numFmtId="0" fontId="81" fillId="32" borderId="3" xfId="0" applyFont="1" applyFill="1" applyBorder="1" applyAlignment="1">
      <alignment horizontal="center" vertical="center"/>
    </xf>
    <xf numFmtId="0" fontId="82" fillId="32" borderId="3" xfId="0" applyFont="1" applyFill="1" applyBorder="1" applyAlignment="1">
      <alignment horizontal="center" vertical="center"/>
    </xf>
    <xf numFmtId="0" fontId="83" fillId="32" borderId="3" xfId="0" applyFont="1" applyFill="1" applyBorder="1" applyAlignment="1">
      <alignment horizontal="center" vertical="center"/>
    </xf>
    <xf numFmtId="0" fontId="84" fillId="32" borderId="3" xfId="0" applyFont="1" applyFill="1" applyBorder="1" applyAlignment="1">
      <alignment horizontal="center" vertical="center"/>
    </xf>
    <xf numFmtId="0" fontId="88" fillId="32" borderId="3" xfId="0" applyFont="1" applyFill="1" applyBorder="1" applyAlignment="1">
      <alignment horizontal="center" vertical="center"/>
    </xf>
    <xf numFmtId="0" fontId="85" fillId="32" borderId="3" xfId="0" applyFont="1" applyFill="1" applyBorder="1" applyAlignment="1">
      <alignment horizontal="left" vertical="top" wrapText="1"/>
    </xf>
    <xf numFmtId="0" fontId="86" fillId="32" borderId="3" xfId="0" applyFont="1" applyFill="1" applyBorder="1" applyAlignment="1">
      <alignment horizontal="left" vertical="top" wrapText="1"/>
    </xf>
    <xf numFmtId="0" fontId="87" fillId="32" borderId="3" xfId="0" applyFont="1" applyFill="1" applyBorder="1" applyAlignment="1">
      <alignment horizontal="center" vertical="center"/>
    </xf>
    <xf numFmtId="0" fontId="74" fillId="33" borderId="3" xfId="0" applyFont="1" applyFill="1" applyBorder="1" applyAlignment="1">
      <alignment horizontal="center" vertical="center"/>
    </xf>
    <xf numFmtId="0" fontId="75" fillId="33" borderId="3" xfId="0" applyFont="1" applyFill="1" applyBorder="1" applyAlignment="1">
      <alignment horizontal="center" vertical="center"/>
    </xf>
    <xf numFmtId="0" fontId="76" fillId="33" borderId="3" xfId="0" applyFont="1" applyFill="1" applyBorder="1" applyAlignment="1">
      <alignment horizontal="left" vertical="center"/>
    </xf>
    <xf numFmtId="0" fontId="77" fillId="33" borderId="3" xfId="0" applyFont="1" applyFill="1" applyBorder="1" applyAlignment="1">
      <alignment horizontal="center" vertical="center"/>
    </xf>
    <xf numFmtId="0" fontId="78" fillId="33" borderId="3" xfId="0" applyFont="1" applyFill="1" applyBorder="1" applyAlignment="1">
      <alignment horizontal="left" vertical="center"/>
    </xf>
    <xf numFmtId="0" fontId="79" fillId="33" borderId="3" xfId="0" applyFont="1" applyFill="1" applyBorder="1" applyAlignment="1">
      <alignment horizontal="center" vertical="center"/>
    </xf>
    <xf numFmtId="0" fontId="80" fillId="33" borderId="3" xfId="0" applyFont="1" applyFill="1" applyBorder="1" applyAlignment="1">
      <alignment horizontal="center" vertical="center"/>
    </xf>
    <xf numFmtId="0" fontId="81" fillId="33" borderId="3" xfId="0" applyFont="1" applyFill="1" applyBorder="1" applyAlignment="1">
      <alignment horizontal="center" vertical="center"/>
    </xf>
    <xf numFmtId="0" fontId="82" fillId="33" borderId="3" xfId="0" applyFont="1" applyFill="1" applyBorder="1" applyAlignment="1">
      <alignment horizontal="center" vertical="center"/>
    </xf>
    <xf numFmtId="0" fontId="83" fillId="33" borderId="3" xfId="0" applyFont="1" applyFill="1" applyBorder="1" applyAlignment="1">
      <alignment horizontal="center" vertical="center"/>
    </xf>
    <xf numFmtId="0" fontId="88" fillId="33" borderId="3" xfId="0" applyFont="1" applyFill="1" applyBorder="1" applyAlignment="1">
      <alignment horizontal="center" vertical="center"/>
    </xf>
    <xf numFmtId="0" fontId="85" fillId="33" borderId="3" xfId="0" applyFont="1" applyFill="1" applyBorder="1" applyAlignment="1">
      <alignment horizontal="left" vertical="top" wrapText="1"/>
    </xf>
    <xf numFmtId="0" fontId="86" fillId="33" borderId="3" xfId="0" applyFont="1" applyFill="1" applyBorder="1" applyAlignment="1">
      <alignment horizontal="left" vertical="top" wrapText="1"/>
    </xf>
    <xf numFmtId="0" fontId="88" fillId="30" borderId="3"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xf numFmtId="0" fontId="12" fillId="4" borderId="1" xfId="0" applyFont="1" applyFill="1" applyBorder="1" applyAlignment="1">
      <alignment horizontal="left" vertical="center"/>
    </xf>
    <xf numFmtId="0" fontId="2" fillId="3" borderId="1" xfId="0" applyFont="1" applyFill="1" applyBorder="1" applyAlignment="1">
      <alignment horizontal="center" vertical="center"/>
    </xf>
    <xf numFmtId="0" fontId="69" fillId="2" borderId="1" xfId="0" applyFont="1" applyFill="1" applyBorder="1" applyAlignment="1">
      <alignment horizontal="center" vertical="center"/>
    </xf>
    <xf numFmtId="0" fontId="71" fillId="24" borderId="0" xfId="0" applyFont="1" applyFill="1" applyAlignment="1">
      <alignment horizontal="center" vertical="center"/>
    </xf>
    <xf numFmtId="0" fontId="72" fillId="2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www.canva.com/design/DAG-aEJQ6rw/MHjZ5YRi6YLPCyQj4xNb0A/view?utm_content=DAG-aEJQ6rw&amp;utm_campaign=designshare&amp;utm_medium=link2&amp;utm_source=uniquelinks&amp;utlId=heaa339cc4d" TargetMode="External"/><Relationship Id="rId18" Type="http://schemas.openxmlformats.org/officeDocument/2006/relationships/hyperlink" Target="https://www.canva.com/design/DAG-Zn-FWd8/QPHHD0re0dFeRCccj203Ng/view?utm_content=DAG-Zn-FWd8&amp;utm_campaign=designshare&amp;utm_medium=link2&amp;utm_source=uniquelinks&amp;utlId=hd270a4b65e" TargetMode="External"/><Relationship Id="rId26" Type="http://schemas.openxmlformats.org/officeDocument/2006/relationships/hyperlink" Target="https://www.canva.com/design/DAHCU1uySFo/ViWrChoW9ClLRRZlaNqhHg/view?utm_content=DAHCU1uySFo&amp;utm_campaign=designshare&amp;utm_medium=link2&amp;utm_source=uniquelinks&amp;utlId=h0145c0f268" TargetMode="External"/><Relationship Id="rId39" Type="http://schemas.openxmlformats.org/officeDocument/2006/relationships/hyperlink" Target="https://www.canva.com/design/DAG_semDu44/Fk2UT8tWvkERuwioqZ6U6Q/view?utm_content=DAG_semDu44&amp;utm_campaign=designshare&amp;utm_medium=link2&amp;utm_source=uniquelinks&amp;utlId=h3e981e0dda" TargetMode="External"/><Relationship Id="rId21" Type="http://schemas.openxmlformats.org/officeDocument/2006/relationships/hyperlink" Target="https://canva.link/71i0bm0jv9o64q7" TargetMode="External"/><Relationship Id="rId34" Type="http://schemas.openxmlformats.org/officeDocument/2006/relationships/hyperlink" Target="https://www.canva.com/design/DAHCbKoEXtg/eZSiUQx8iThYJMoEFkGhYA/view?utm_content=DAHCbKoEXtg&amp;utm_campaign=designshare&amp;utm_medium=link2&amp;utm_source=uniquelinks&amp;utlId=hca99dce64e" TargetMode="External"/><Relationship Id="rId42" Type="http://schemas.openxmlformats.org/officeDocument/2006/relationships/hyperlink" Target="https://canva.link/biyj7wfkrjemw83" TargetMode="External"/><Relationship Id="rId47" Type="http://schemas.openxmlformats.org/officeDocument/2006/relationships/hyperlink" Target="https://www.canva.com/design/DAHD2NQXF5M/dGFxd484Hj_pWXgJcStKyQ/view?utm_content=DAHD2NQXF5M&amp;utm_campaign=designshare&amp;utm_medium=link2&amp;utm_source=uniquelinks&amp;utlId=h7dc2d146fc" TargetMode="External"/><Relationship Id="rId50" Type="http://schemas.openxmlformats.org/officeDocument/2006/relationships/hyperlink" Target="https://www.canva.com/design/DAHDES-w2xc/6z8NqE44Q_WsQCwvDH1OPw/view?utm_content=DAHDES-w2xc&amp;utm_campaign=designshare&amp;utm_medium=link2&amp;utm_source=uniquelinks&amp;utlId=h172a98051a" TargetMode="External"/><Relationship Id="rId55" Type="http://schemas.openxmlformats.org/officeDocument/2006/relationships/hyperlink" Target="https://www.canva.com/design/DAHE2qgADEQ/w07BkT65bGnd2zq9L_rhnA/edit?utm_content=DAHE2qgADEQ&amp;utm_campaign=designshare&amp;utm_medium=link2&amp;utm_source=sharebutton" TargetMode="External"/><Relationship Id="rId7" Type="http://schemas.openxmlformats.org/officeDocument/2006/relationships/hyperlink" Target="https://www.canva.com/design/DAG-agH3Vfw/8i25G28ihD4pcCooO5Wcaw/view?utm_content=DAG-agH3Vfw&amp;utm_campaign=designshare&amp;utm_medium=link2&amp;utm_source=uniquelinks&amp;utlId=he3ae91dacf" TargetMode="External"/><Relationship Id="rId2" Type="http://schemas.openxmlformats.org/officeDocument/2006/relationships/hyperlink" Target="https://www.canva.com/design/DAHD7yS5FXU/8HB3_cpfMiv5IY74dHc7dw/watch?utm_content=DAHD7yS5FXU&amp;utm_campaign=designshare&amp;utm_medium=link2&amp;utm_source=uniquelinks&amp;utlId=h8a9beb3110" TargetMode="External"/><Relationship Id="rId16" Type="http://schemas.openxmlformats.org/officeDocument/2006/relationships/hyperlink" Target="https://www.canva.com/design/DAG_5xB-t1o/8CUvQN4R0gqeHXq2RYQPow/view?utm_content=DAG_5xB-t1o&amp;utm_campaign=designshare&amp;utm_medium=link2&amp;utm_source=uniquelinks&amp;utlId=h745635e1fe" TargetMode="External"/><Relationship Id="rId29" Type="http://schemas.openxmlformats.org/officeDocument/2006/relationships/hyperlink" Target="https://canva.link/z2kw56n8ic1rxed" TargetMode="External"/><Relationship Id="rId11" Type="http://schemas.openxmlformats.org/officeDocument/2006/relationships/hyperlink" Target="https://www.canva.com/design/DAG-8HixrLM/5xxkfS4Pn834zOUuoO4t2w/view?utm_content=DAG-8HixrLM&amp;utm_campaign=designshare&amp;utm_medium=link2&amp;utm_source=uniquelinks&amp;utlId=hed4682ef99" TargetMode="External"/><Relationship Id="rId24" Type="http://schemas.openxmlformats.org/officeDocument/2006/relationships/hyperlink" Target="https://www.canva.com/design/DAHCRtxURxA/fEX_fMPXWAiHoOSSrnyh7w/view?utm_content=DAHCRtxURxA&amp;utm_campaign=designshare&amp;utm_medium=link2&amp;utm_source=uniquelinks&amp;utlId=ha70db59060" TargetMode="External"/><Relationship Id="rId32" Type="http://schemas.openxmlformats.org/officeDocument/2006/relationships/hyperlink" Target="https://www.canva.com/design/DAHE2rouRKU/p5Ph6dBi0fwRz5704zuQuQ/edit?utm_content=DAHE2rouRKU&amp;utm_campaign=designshare&amp;utm_medium=link2&amp;utm_source=sharebutton" TargetMode="External"/><Relationship Id="rId37" Type="http://schemas.openxmlformats.org/officeDocument/2006/relationships/hyperlink" Target="https://www.canva.com/design/DAG-aUiP-3U/3HvSTI7u-Le4oPFJyeh1Mw/view?utm_content=DAG-aUiP-3U&amp;utm_campaign=designshare&amp;utm_medium=link2&amp;utm_source=uniquelinks&amp;utlId=h795f71be56" TargetMode="External"/><Relationship Id="rId40" Type="http://schemas.openxmlformats.org/officeDocument/2006/relationships/hyperlink" Target="https://www.canva.com/design/DAHCPem-7EY/2jN0mblrw9AA-fBEhSKFNg/view?utm_content=DAHCPem-7EY&amp;utm_campaign=designshare&amp;utm_medium=link2&amp;utm_source=uniquelinks&amp;utlId=h3cb7e1c741" TargetMode="External"/><Relationship Id="rId45" Type="http://schemas.openxmlformats.org/officeDocument/2006/relationships/hyperlink" Target="https://www.canva.com/design/DAG_sgbtWb4/OIRcNfIkmqMu0uucWkqjyA/view?utm_content=DAG_sgbtWb4&amp;utm_campaign=designshare&amp;utm_medium=link2&amp;utm_source=uniquelinks&amp;utlId=h806ab9b742" TargetMode="External"/><Relationship Id="rId53" Type="http://schemas.openxmlformats.org/officeDocument/2006/relationships/hyperlink" Target="https://www.canva.com/design/DAHCa_M7jW4/LNqQtRTm6qfQoUCxX_KcKQ/view?utm_content=DAHCa_M7jW4&amp;utm_campaign=designshare&amp;utm_medium=link2&amp;utm_source=uniquelinks&amp;utlId=h6c4c2b3a6a" TargetMode="External"/><Relationship Id="rId5" Type="http://schemas.openxmlformats.org/officeDocument/2006/relationships/hyperlink" Target="https://www.canva.com/design/DAG_5z-pK4I/1kNUH4Hmg5jOT9ob4pxGJA/view?utm_content=DAG_5z-pK4I&amp;utm_campaign=designshare&amp;utm_medium=link2&amp;utm_source=uniquelinks&amp;utlId=h6ab61857ac" TargetMode="External"/><Relationship Id="rId19" Type="http://schemas.openxmlformats.org/officeDocument/2006/relationships/hyperlink" Target="https://www.canva.com/design/DAHD3LFWRqQ/AyoeG8dB6Jm_o9H7UYKsPg/edit?utm_content=DAHD3LFWRqQ&amp;utm_campaign=designshare&amp;utm_medium=link2&amp;utm_source=sharebutton" TargetMode="External"/><Relationship Id="rId4" Type="http://schemas.openxmlformats.org/officeDocument/2006/relationships/hyperlink" Target="https://www.canva.com/design/DAHD2_Qje4g/kH80i4SnOdadxUwvADW0FQ/view?utm_content=DAHD2_Qje4g&amp;utm_campaign=designshare&amp;utm_medium=link2&amp;utm_source=uniquelinks&amp;utlId=h43fc5faeb1" TargetMode="External"/><Relationship Id="rId9" Type="http://schemas.openxmlformats.org/officeDocument/2006/relationships/hyperlink" Target="https://www.canva.com/design/DAG-kdJGBro/jTehAIR45sgGWmJwtMkoQQ/view?utm_content=DAG-kdJGBro&amp;utm_campaign=designshare&amp;utm_medium=link2&amp;utm_source=uniquelinks&amp;utlId=hfcd89490d2" TargetMode="External"/><Relationship Id="rId14" Type="http://schemas.openxmlformats.org/officeDocument/2006/relationships/hyperlink" Target="https://www.canva.com/design/DAHEG9SvAYg/bIl1UPjHFgtxoFg8DZbYVg/edit?utm_content=DAHEG9SvAYg&amp;utm_campaign=designshare&amp;utm_medium=link2&amp;utm_source=sharebutton" TargetMode="External"/><Relationship Id="rId22" Type="http://schemas.openxmlformats.org/officeDocument/2006/relationships/hyperlink" Target="https://www.canva.com/design/DAHCPbSAHnU/UEOnEoYfmEEokdYHNNG4aQ/view?utm_content=DAHCPbSAHnU&amp;utm_campaign=designshare&amp;utm_medium=link2&amp;utm_source=uniquelinks&amp;utlId=hb2aada8e27" TargetMode="External"/><Relationship Id="rId27" Type="http://schemas.openxmlformats.org/officeDocument/2006/relationships/hyperlink" Target="https://www.canva.com/design/DAHEIfcz8S8/T8s40oWGQ7HJ0oVkmJYsUw/edit?utm_content=DAHEIfcz8S8&amp;utm_campaign=designshare&amp;utm_medium=link2&amp;utm_source=sharebutton" TargetMode="External"/><Relationship Id="rId30" Type="http://schemas.openxmlformats.org/officeDocument/2006/relationships/hyperlink" Target="https://www.canva.com/design/DAG-Z6QSLKI/EDEkCfdocn2pVCHWiKR0lw/view?utm_content=DAG-Z6QSLKI&amp;utm_campaign=designshare&amp;utm_medium=link2&amp;utm_source=uniquelinks&amp;utlId=hed0cde83fe" TargetMode="External"/><Relationship Id="rId35" Type="http://schemas.openxmlformats.org/officeDocument/2006/relationships/hyperlink" Target="https://www.canva.com/design/DAG-ZhSZkLk/xV0drHTjLa1WAti8pkWmPw/view?utm_content=DAG-ZhSZkLk&amp;utm_campaign=designshare&amp;utm_medium=link2&amp;utm_source=uniquelinks&amp;utlId=h8b743fe1f7" TargetMode="External"/><Relationship Id="rId43" Type="http://schemas.openxmlformats.org/officeDocument/2006/relationships/hyperlink" Target="https://www.canva.com/design/DAHCPQq2c8s/zAuZUtfbQ6anopH9seViNA/view?utm_content=DAHCPQq2c8s&amp;utm_campaign=designshare&amp;utm_medium=link2&amp;utm_source=uniquelinks&amp;utlId=h150038009c" TargetMode="External"/><Relationship Id="rId48" Type="http://schemas.openxmlformats.org/officeDocument/2006/relationships/hyperlink" Target="https://www.canva.com/design/DAHD2MEHhh4/pOZKnAOrNjCfSNYJabRvPQ/view?utm_content=DAHD2MEHhh4&amp;utm_campaign=designshare&amp;utm_medium=link2&amp;utm_source=uniquelinks&amp;utlId=h6b1823a4e1" TargetMode="External"/><Relationship Id="rId56" Type="http://schemas.openxmlformats.org/officeDocument/2006/relationships/hyperlink" Target="https://www.canva.com/design/DAHE3BH-TXw/qL5MkAvOVgeTrp1XvI4dxQ/edit?utm_content=DAHE3BH-TXw&amp;utm_campaign=designshare&amp;utm_medium=link2&amp;utm_source=sharebutton" TargetMode="External"/><Relationship Id="rId8" Type="http://schemas.openxmlformats.org/officeDocument/2006/relationships/hyperlink" Target="https://www.canva.com/design/DAHD3BRwQBg/ZJV-vBxF3zKoC2B9xRIsRw/view?utm_content=DAHD3BRwQBg&amp;utm_campaign=designshare&amp;utm_medium=link2&amp;utm_source=uniquelinks&amp;utlId=h84de42b5cd" TargetMode="External"/><Relationship Id="rId51" Type="http://schemas.openxmlformats.org/officeDocument/2006/relationships/hyperlink" Target="https://www.canva.com/design/DAHCnQH5dCo/uyBXme8Ikti3fDccfJLvBQ/view?utm_content=DAHCnQH5dCo&amp;utm_campaign=designshare&amp;utm_medium=link2&amp;utm_source=uniquelinks&amp;utlId=h7175716654" TargetMode="External"/><Relationship Id="rId3" Type="http://schemas.openxmlformats.org/officeDocument/2006/relationships/hyperlink" Target="https://www.canva.com/design/DAHCJvVUECU/ye_NxAQrPwGscjtked_gUA/view?utm_content=DAHCJvVUECU&amp;utm_campaign=designshare&amp;utm_medium=link2&amp;utm_source=uniquelinks&amp;utlId=hb22ad7d89d" TargetMode="External"/><Relationship Id="rId12" Type="http://schemas.openxmlformats.org/officeDocument/2006/relationships/hyperlink" Target="https://www.canva.com/design/DAHD3KafhUw/qSoDtlC3RAicflGBfXeS7w/view?utm_content=DAHD3KafhUw&amp;utm_campaign=designshare&amp;utm_medium=link2&amp;utm_source=uniquelinks&amp;utlId=haa0cea723e" TargetMode="External"/><Relationship Id="rId17" Type="http://schemas.openxmlformats.org/officeDocument/2006/relationships/hyperlink" Target="https://www.canva.com/design/DAHD3J67KZw/kJ2TEERB00DLxTK0Z_rmWA/edit?utm_content=DAHD3J67KZw&amp;utm_campaign=designshare&amp;utm_medium=link2&amp;utm_source=sharebutton" TargetMode="External"/><Relationship Id="rId25" Type="http://schemas.openxmlformats.org/officeDocument/2006/relationships/hyperlink" Target="https://www.canva.com/design/DAHD3LNOQ3M/2E3VVtAV7yX1ux4sJE1_MQ/edit?utm_content=DAHD3LNOQ3M&amp;utm_campaign=designshare&amp;utm_medium=link2&amp;utm_source=sharebutton" TargetMode="External"/><Relationship Id="rId33" Type="http://schemas.openxmlformats.org/officeDocument/2006/relationships/hyperlink" Target="https://www.canva.com/design/DAG-Z-Yh56s/nV3vsEJTS6uEf-1UlY_DdQ/view?utm_content=DAG-Z-Yh56s&amp;utm_campaign=designshare&amp;utm_medium=link2&amp;utm_source=uniquelinks&amp;utlId=hc2dcfedcb4" TargetMode="External"/><Relationship Id="rId38" Type="http://schemas.openxmlformats.org/officeDocument/2006/relationships/hyperlink" Target="https://www.canva.com/design/DAHD63sxPOo/SM6-mepYtAB851UFOqVfAQ/edit?utm_content=DAHD63sxPOo&amp;utm_campaign=designshare&amp;utm_medium=link2&amp;utm_source=sharebutton" TargetMode="External"/><Relationship Id="rId46" Type="http://schemas.openxmlformats.org/officeDocument/2006/relationships/hyperlink" Target="https://canva.link/y5pkl9cvqtncsdd" TargetMode="External"/><Relationship Id="rId20" Type="http://schemas.openxmlformats.org/officeDocument/2006/relationships/hyperlink" Target="https://www.canva.com/design/DAHAQmm4Q28/3zlCcGe6Q9wdiYY6ASicAg/view?utm_content=DAHAQmm4Q28&amp;utm_campaign=designshare&amp;utm_medium=link2&amp;utm_source=uniquelinks&amp;utlId=hf4e5f24b8a" TargetMode="External"/><Relationship Id="rId41" Type="http://schemas.openxmlformats.org/officeDocument/2006/relationships/hyperlink" Target="https://www.canva.com/design/DAHD7kqkuGc/QYrudhYk3YXM08rqhkA3bA/edit?utm_content=DAHD7kqkuGc&amp;utm_campaign=designshare&amp;utm_medium=link2&amp;utm_source=sharebutton" TargetMode="External"/><Relationship Id="rId54" Type="http://schemas.openxmlformats.org/officeDocument/2006/relationships/hyperlink" Target="https://www.canva.com/design/DAHCniljX7g/c75Q8KysdaHqpzvWp8s3qQ/view?utm_content=DAHCniljX7g&amp;utm_campaign=designshare&amp;utm_medium=link2&amp;utm_source=uniquelinks&amp;utlId=h2e4b289921" TargetMode="External"/><Relationship Id="rId1" Type="http://schemas.openxmlformats.org/officeDocument/2006/relationships/hyperlink" Target="https://www.canva.com/design/DAHD29evxUw/96CZYFLbo-F1mX34sSW6gg/view?utm_content=DAHD29evxUw&amp;utm_campaign=designshare&amp;utm_medium=link2&amp;utm_source=uniquelinks&amp;utlId=h85f0b60b4a" TargetMode="External"/><Relationship Id="rId6" Type="http://schemas.openxmlformats.org/officeDocument/2006/relationships/hyperlink" Target="https://www.canva.com/design/DAHD3CB3L88/jGcdfhxB09T1VnF-eN1jmg/view?utm_content=DAHD3CB3L88&amp;utm_campaign=designshare&amp;utm_medium=link2&amp;utm_source=uniquelinks&amp;utlId=h0e625d0606" TargetMode="External"/><Relationship Id="rId15" Type="http://schemas.openxmlformats.org/officeDocument/2006/relationships/hyperlink" Target="https://www.canva.com/design/DAG-arLij0M/uk35JfRzpWVnzdtL7zdezw/view?utm_content=DAG-arLij0M&amp;utm_campaign=designshare&amp;utm_medium=link2&amp;utm_source=uniquelinks&amp;utlId=h8c68b9210e" TargetMode="External"/><Relationship Id="rId23" Type="http://schemas.openxmlformats.org/officeDocument/2006/relationships/hyperlink" Target="https://www.canva.com/design/DAHEHo95HHs/vG4hLeAPMSSnShBz7Y-fSQ/edit?utm_content=DAHEHo95HHs&amp;utm_campaign=designshare&amp;utm_medium=link2&amp;utm_source=sharebutton" TargetMode="External"/><Relationship Id="rId28" Type="http://schemas.openxmlformats.org/officeDocument/2006/relationships/hyperlink" Target="https://www.canva.com/design/DAHEIfcz8S8/T8s40oWGQ7HJ0oVkmJYsUw/edit?utm_content=DAHEIfcz8S8&amp;utm_campaign=designshare&amp;utm_medium=link2&amp;utm_source=sharebutton" TargetMode="External"/><Relationship Id="rId36" Type="http://schemas.openxmlformats.org/officeDocument/2006/relationships/hyperlink" Target="https://www.canva.com/design/DAHD2MEHhh4/pOZKnAOrNjCfSNYJabRvPQ/view?utm_content=DAHD2MEHhh4&amp;utm_campaign=designshare&amp;utm_medium=link2&amp;utm_source=uniquelinks&amp;utlId=h6b1823a4e1" TargetMode="External"/><Relationship Id="rId49" Type="http://schemas.openxmlformats.org/officeDocument/2006/relationships/hyperlink" Target="https://www.canva.com/design/DAHCaxhFb9c/en40prOmyy1-1G8F0BklwQ/view?utm_content=DAHCaxhFb9c&amp;utm_campaign=designshare&amp;utm_medium=link2&amp;utm_source=uniquelinks&amp;utlId=hecd3cac812" TargetMode="External"/><Relationship Id="rId57" Type="http://schemas.openxmlformats.org/officeDocument/2006/relationships/hyperlink" Target="https://www.canva.com/design/DAHAQggNGy0/cP1e82pW1E2-XsyBUkZvnw/view?utm_content=DAHAQggNGy0&amp;utm_campaign=designshare&amp;utm_medium=link2&amp;utm_source=uniquelinks&amp;utlId=hfcdb3ca04d" TargetMode="External"/><Relationship Id="rId10" Type="http://schemas.openxmlformats.org/officeDocument/2006/relationships/hyperlink" Target="https://www.canva.com/design/DAHD3GspOJI/O6LDqr64qa5dGuiBhQbPXQ/view?utm_content=DAHD3GspOJI&amp;utm_campaign=designshare&amp;utm_medium=link2&amp;utm_source=uniquelinks&amp;utlId=h35af4997bc" TargetMode="External"/><Relationship Id="rId31" Type="http://schemas.openxmlformats.org/officeDocument/2006/relationships/hyperlink" Target="https://www.canva.com/design/DAG-ZyRzMes/L-xHV8hHoVa2uoh16bedaQ/view?utm_content=DAG-ZyRzMes&amp;utm_campaign=designshare&amp;utm_medium=link2&amp;utm_source=uniquelinks&amp;utlId=h87332639f8" TargetMode="External"/><Relationship Id="rId44" Type="http://schemas.openxmlformats.org/officeDocument/2006/relationships/hyperlink" Target="https://www.canva.com/design/DAHBHLLibDM/q62iYe-obIWWboCajrqKnQ/view?utm_content=DAHBHLLibDM&amp;utm_campaign=designshare&amp;utm_medium=link2&amp;utm_source=uniquelinks&amp;utlId=hb67deccff6" TargetMode="External"/><Relationship Id="rId52" Type="http://schemas.openxmlformats.org/officeDocument/2006/relationships/hyperlink" Target="https://www.canva.com/design/DAHD1oGGkQg/B7HV_VWoziKLZlmDYuSmqg/view?utm_content=DAHD1oGGkQg&amp;utm_campaign=designshare&amp;utm_medium=link2&amp;utm_source=uniquelinks&amp;utlId=h91858b2ec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workbookViewId="0">
      <selection activeCell="G18" sqref="G18:I18"/>
    </sheetView>
  </sheetViews>
  <sheetFormatPr defaultColWidth="14.44140625" defaultRowHeight="15" customHeight="1" x14ac:dyDescent="0.3"/>
  <cols>
    <col min="1" max="9" width="15" customWidth="1"/>
    <col min="10" max="26" width="8.6640625" customWidth="1"/>
  </cols>
  <sheetData>
    <row r="1" spans="1:9" ht="36" customHeight="1" x14ac:dyDescent="0.3">
      <c r="A1" s="337" t="s">
        <v>0</v>
      </c>
      <c r="B1" s="338"/>
      <c r="C1" s="338"/>
      <c r="D1" s="338"/>
      <c r="E1" s="338"/>
      <c r="F1" s="338"/>
      <c r="G1" s="338"/>
      <c r="H1" s="338"/>
      <c r="I1" s="338"/>
    </row>
    <row r="2" spans="1:9" ht="21.75" customHeight="1" x14ac:dyDescent="0.3">
      <c r="A2" s="340" t="str">
        <f>"Total : "&amp;COUNTA('📋 Leads'!G2:G611)&amp;"   |   🔥 Immédiats : "&amp;COUNTIF('📋 Leads'!C2:C611,"🔥 Immédiatement")&amp;"   |   🔄 En cours : "&amp;COUNTIF('📋 Leads'!B2:B611,"🔄 En cours")&amp;"   |   ✅ Gagnés : "&amp;COUNTIF('📋 Leads'!B2:B611,"✅ Gagné")</f>
        <v>Total : 561   |   🔥 Immédiats : 250   |   🔄 En cours : 48   |   ✅ Gagnés : 0</v>
      </c>
      <c r="B2" s="338"/>
      <c r="C2" s="338"/>
      <c r="D2" s="338"/>
      <c r="E2" s="338"/>
      <c r="F2" s="338"/>
      <c r="G2" s="338"/>
      <c r="H2" s="338"/>
      <c r="I2" s="338"/>
    </row>
    <row r="3" spans="1:9" ht="9.75" customHeight="1" x14ac:dyDescent="0.3"/>
    <row r="4" spans="1:9" ht="51.75" customHeight="1" x14ac:dyDescent="0.3">
      <c r="A4" s="1">
        <f>COUNTA('📋 Leads'!G2:G611)</f>
        <v>561</v>
      </c>
      <c r="B4" s="2">
        <f>COUNTIF('📋 Leads'!C2:C611,"🔥 Immédiatement")</f>
        <v>250</v>
      </c>
      <c r="C4" s="3">
        <f>COUNTIF('📋 Leads'!C2:C611,"📅 Dans 1 mois")</f>
        <v>130</v>
      </c>
      <c r="D4" s="4">
        <f>COUNTIF('📋 Leads'!C2:C611,"📅 2-3 mois")</f>
        <v>122</v>
      </c>
      <c r="E4" s="5">
        <f>COUNTIF('📋 Leads'!B2:B611,"🔄 En cours")</f>
        <v>48</v>
      </c>
      <c r="F4" s="6">
        <f>COUNTIF('📋 Leads'!B2:B611,"✅ Gagné")</f>
        <v>0</v>
      </c>
      <c r="G4" s="7">
        <f>COUNTIF('📋 Leads'!M2:M611,"✅")</f>
        <v>146</v>
      </c>
      <c r="H4" s="1">
        <f>COUNTA('🏠 Biens'!B2:B200)</f>
        <v>47</v>
      </c>
      <c r="I4" s="8">
        <f>COUNTIF('📋 Leads'!D2:D611,"🔴 Haute")</f>
        <v>234</v>
      </c>
    </row>
    <row r="5" spans="1:9" ht="19.5" customHeight="1" x14ac:dyDescent="0.3">
      <c r="A5" s="9" t="s">
        <v>1</v>
      </c>
      <c r="B5" s="10" t="s">
        <v>2</v>
      </c>
      <c r="C5" s="11" t="s">
        <v>3</v>
      </c>
      <c r="D5" s="12" t="s">
        <v>4</v>
      </c>
      <c r="E5" s="13" t="s">
        <v>5</v>
      </c>
      <c r="F5" s="14" t="s">
        <v>6</v>
      </c>
      <c r="G5" s="15" t="s">
        <v>7</v>
      </c>
      <c r="H5" s="9" t="s">
        <v>8</v>
      </c>
      <c r="I5" s="16" t="s">
        <v>9</v>
      </c>
    </row>
    <row r="6" spans="1:9" ht="13.5" customHeight="1" x14ac:dyDescent="0.3"/>
    <row r="7" spans="1:9" ht="25.5" customHeight="1" x14ac:dyDescent="0.3">
      <c r="A7" s="339" t="s">
        <v>10</v>
      </c>
      <c r="B7" s="338"/>
      <c r="C7" s="338"/>
      <c r="D7" s="338"/>
      <c r="E7" s="338"/>
      <c r="F7" s="338"/>
      <c r="G7" s="338"/>
      <c r="H7" s="338"/>
      <c r="I7" s="338"/>
    </row>
    <row r="8" spans="1:9" ht="21.75" customHeight="1" x14ac:dyDescent="0.3">
      <c r="A8" s="17" t="s">
        <v>11</v>
      </c>
      <c r="B8" s="17" t="s">
        <v>12</v>
      </c>
      <c r="C8" s="17" t="s">
        <v>13</v>
      </c>
      <c r="D8" s="17" t="s">
        <v>14</v>
      </c>
      <c r="E8" s="17" t="s">
        <v>15</v>
      </c>
      <c r="F8" s="17" t="s">
        <v>16</v>
      </c>
      <c r="G8" s="17" t="s">
        <v>17</v>
      </c>
      <c r="H8" s="17" t="s">
        <v>5</v>
      </c>
      <c r="I8" s="17" t="s">
        <v>18</v>
      </c>
    </row>
    <row r="9" spans="1:9" ht="19.5" customHeight="1" x14ac:dyDescent="0.3">
      <c r="A9" s="18" t="s">
        <v>19</v>
      </c>
      <c r="B9" s="19">
        <f>COUNTIF('📋 Leads'!C2:C611,"🔥 Immédiatement")</f>
        <v>250</v>
      </c>
      <c r="C9" s="19">
        <f>COUNTIFS('📋 Leads'!C2:C611,"🔥 Immédiatement",'📋 Leads'!E2:E611,"Achat")</f>
        <v>81</v>
      </c>
      <c r="D9" s="19">
        <f>COUNTIFS('📋 Leads'!C2:C611,"🔥 Immédiatement",'📋 Leads'!E2:E611,"Location")</f>
        <v>151</v>
      </c>
      <c r="E9" s="19">
        <f>COUNTIFS('📋 Leads'!C2:C611,"🔥 Immédiatement",'📋 Leads'!E2:E611,"Vente")</f>
        <v>5</v>
      </c>
      <c r="F9" s="19">
        <f>COUNTIFS('📋 Leads'!C2:C611,"🔥 Immédiatement",'📋 Leads'!E2:E611,"Investissement")</f>
        <v>2</v>
      </c>
      <c r="G9" s="19">
        <f>COUNTIFS('📋 Leads'!C2:C611,"🔥 Immédiatement",'📋 Leads'!E2:E611,"Louer son bien")</f>
        <v>11</v>
      </c>
      <c r="H9" s="19">
        <f>COUNTIFS('📋 Leads'!C2:C611,"🔥 Immédiatement",'📋 Leads'!B2:B611,"🔄 En cours")</f>
        <v>32</v>
      </c>
      <c r="I9" s="19">
        <f>COUNTIFS('📋 Leads'!C2:C611,"🔥 Immédiatement",'📋 Leads'!M2:M611,"✅")</f>
        <v>66</v>
      </c>
    </row>
    <row r="10" spans="1:9" ht="19.5" customHeight="1" x14ac:dyDescent="0.3">
      <c r="A10" s="20" t="s">
        <v>3</v>
      </c>
      <c r="B10" s="21">
        <f>COUNTIF('📋 Leads'!C2:C611,"📅 Dans 1 mois")</f>
        <v>130</v>
      </c>
      <c r="C10" s="21">
        <f>COUNTIFS('📋 Leads'!C2:C611,"📅 Dans 1 mois",'📋 Leads'!E2:E611,"Achat")</f>
        <v>71</v>
      </c>
      <c r="D10" s="21">
        <f>COUNTIFS('📋 Leads'!C2:C611,"📅 Dans 1 mois",'📋 Leads'!E2:E611,"Location")</f>
        <v>54</v>
      </c>
      <c r="E10" s="21">
        <f>COUNTIFS('📋 Leads'!C2:C611,"📅 Dans 1 mois",'📋 Leads'!E2:E611,"Vente")</f>
        <v>1</v>
      </c>
      <c r="F10" s="21">
        <f>COUNTIFS('📋 Leads'!C2:C611,"📅 Dans 1 mois",'📋 Leads'!E2:E611,"Investissement")</f>
        <v>2</v>
      </c>
      <c r="G10" s="21">
        <f>COUNTIFS('📋 Leads'!C2:C611,"📅 Dans 1 mois",'📋 Leads'!E2:E611,"Louer son bien")</f>
        <v>1</v>
      </c>
      <c r="H10" s="21">
        <f>COUNTIFS('📋 Leads'!C2:C611,"📅 Dans 1 mois",'📋 Leads'!B2:B611,"🔄 En cours")</f>
        <v>9</v>
      </c>
      <c r="I10" s="21">
        <f>COUNTIFS('📋 Leads'!C2:C611,"📅 Dans 1 mois",'📋 Leads'!M2:M611,"✅")</f>
        <v>49</v>
      </c>
    </row>
    <row r="11" spans="1:9" ht="19.5" customHeight="1" x14ac:dyDescent="0.3">
      <c r="A11" s="22" t="s">
        <v>4</v>
      </c>
      <c r="B11" s="23">
        <f>COUNTIF('📋 Leads'!C2:C611,"📅 2-3 mois")</f>
        <v>122</v>
      </c>
      <c r="C11" s="23">
        <f>COUNTIFS('📋 Leads'!C2:C611,"📅 2-3 mois",'📋 Leads'!E2:E611,"Achat")</f>
        <v>45</v>
      </c>
      <c r="D11" s="23">
        <f>COUNTIFS('📋 Leads'!C2:C611,"📅 2-3 mois",'📋 Leads'!E2:E611,"Location")</f>
        <v>75</v>
      </c>
      <c r="E11" s="23">
        <f>COUNTIFS('📋 Leads'!C2:C611,"📅 2-3 mois",'📋 Leads'!E2:E611,"Vente")</f>
        <v>0</v>
      </c>
      <c r="F11" s="23">
        <f>COUNTIFS('📋 Leads'!C2:C611,"📅 2-3 mois",'📋 Leads'!E2:E611,"Investissement")</f>
        <v>0</v>
      </c>
      <c r="G11" s="23">
        <f>COUNTIFS('📋 Leads'!C2:C611,"📅 2-3 mois",'📋 Leads'!E2:E611,"Louer son bien")</f>
        <v>2</v>
      </c>
      <c r="H11" s="23">
        <f>COUNTIFS('📋 Leads'!C2:C611,"📅 2-3 mois",'📋 Leads'!B2:B611,"🔄 En cours")</f>
        <v>4</v>
      </c>
      <c r="I11" s="23">
        <f>COUNTIFS('📋 Leads'!C2:C611,"📅 2-3 mois",'📋 Leads'!M2:M611,"✅")</f>
        <v>17</v>
      </c>
    </row>
    <row r="12" spans="1:9" ht="19.5" customHeight="1" x14ac:dyDescent="0.3">
      <c r="A12" s="24" t="s">
        <v>20</v>
      </c>
      <c r="B12" s="25">
        <f>COUNTIF('📋 Leads'!C2:C611,"📅 3-6 mois")</f>
        <v>50</v>
      </c>
      <c r="C12" s="25">
        <f>COUNTIFS('📋 Leads'!C2:C611,"📅 3-6 mois",'📋 Leads'!E2:E611,"Achat")</f>
        <v>50</v>
      </c>
      <c r="D12" s="25">
        <f>COUNTIFS('📋 Leads'!C2:C611,"📅 3-6 mois",'📋 Leads'!E2:E611,"Location")</f>
        <v>0</v>
      </c>
      <c r="E12" s="25">
        <f>COUNTIFS('📋 Leads'!C2:C611,"📅 3-6 mois",'📋 Leads'!E2:E611,"Vente")</f>
        <v>0</v>
      </c>
      <c r="F12" s="25">
        <f>COUNTIFS('📋 Leads'!C2:C611,"📅 3-6 mois",'📋 Leads'!E2:E611,"Investissement")</f>
        <v>0</v>
      </c>
      <c r="G12" s="25">
        <f>COUNTIFS('📋 Leads'!C2:C611,"📅 3-6 mois",'📋 Leads'!E2:E611,"Louer son bien")</f>
        <v>0</v>
      </c>
      <c r="H12" s="25">
        <f>COUNTIFS('📋 Leads'!C2:C611,"📅 3-6 mois",'📋 Leads'!B2:B611,"🔄 En cours")</f>
        <v>0</v>
      </c>
      <c r="I12" s="25">
        <f>COUNTIFS('📋 Leads'!C2:C611,"📅 3-6 mois",'📋 Leads'!M2:M611,"✅")</f>
        <v>7</v>
      </c>
    </row>
    <row r="13" spans="1:9" ht="19.5" customHeight="1" x14ac:dyDescent="0.3">
      <c r="A13" s="26" t="s">
        <v>21</v>
      </c>
      <c r="B13" s="27">
        <f>COUNTIF('📋 Leads'!C2:C611,"🕐 +6 mois")</f>
        <v>2</v>
      </c>
      <c r="C13" s="27">
        <f>COUNTIFS('📋 Leads'!C2:C611,"🕐 +6 mois",'📋 Leads'!E2:E611,"Achat")</f>
        <v>1</v>
      </c>
      <c r="D13" s="27">
        <f>COUNTIFS('📋 Leads'!C2:C611,"🕐 +6 mois",'📋 Leads'!E2:E611,"Location")</f>
        <v>1</v>
      </c>
      <c r="E13" s="27">
        <f>COUNTIFS('📋 Leads'!C2:C611,"🕐 +6 mois",'📋 Leads'!E2:E611,"Vente")</f>
        <v>0</v>
      </c>
      <c r="F13" s="27">
        <f>COUNTIFS('📋 Leads'!C2:C611,"🕐 +6 mois",'📋 Leads'!E2:E611,"Investissement")</f>
        <v>0</v>
      </c>
      <c r="G13" s="27">
        <f>COUNTIFS('📋 Leads'!C2:C611,"🕐 +6 mois",'📋 Leads'!E2:E611,"Louer son bien")</f>
        <v>0</v>
      </c>
      <c r="H13" s="27">
        <f>COUNTIFS('📋 Leads'!C2:C611,"🕐 +6 mois",'📋 Leads'!B2:B611,"🔄 En cours")</f>
        <v>0</v>
      </c>
      <c r="I13" s="27">
        <f>COUNTIFS('📋 Leads'!C2:C611,"🕐 +6 mois",'📋 Leads'!M2:M611,"✅")</f>
        <v>1</v>
      </c>
    </row>
    <row r="14" spans="1:9" ht="13.5" customHeight="1" x14ac:dyDescent="0.3"/>
    <row r="15" spans="1:9" ht="25.5" customHeight="1" x14ac:dyDescent="0.3">
      <c r="A15" s="339" t="s">
        <v>22</v>
      </c>
      <c r="B15" s="338"/>
      <c r="C15" s="338"/>
      <c r="D15" s="338"/>
      <c r="E15" s="338"/>
      <c r="F15" s="338"/>
      <c r="G15" s="338"/>
      <c r="H15" s="338"/>
      <c r="I15" s="338"/>
    </row>
    <row r="16" spans="1:9" ht="19.5" customHeight="1" x14ac:dyDescent="0.3">
      <c r="A16" s="17" t="s">
        <v>23</v>
      </c>
      <c r="B16" s="17" t="s">
        <v>24</v>
      </c>
      <c r="C16" s="17" t="s">
        <v>5</v>
      </c>
      <c r="D16" s="17" t="s">
        <v>6</v>
      </c>
      <c r="E16" s="17" t="s">
        <v>2</v>
      </c>
      <c r="F16" s="17" t="s">
        <v>18</v>
      </c>
    </row>
    <row r="17" spans="1:9" ht="21.75" customHeight="1" x14ac:dyDescent="0.3">
      <c r="A17" s="28" t="s">
        <v>25</v>
      </c>
      <c r="B17" s="29">
        <f>COUNTIF('📋 Leads'!J2:J611,"*Karim*")</f>
        <v>44</v>
      </c>
      <c r="C17" s="29">
        <f>COUNTIFS('📋 Leads'!J2:J611,"*Karim*",'📋 Leads'!B2:B611,"🔄 En cours")</f>
        <v>21</v>
      </c>
      <c r="D17" s="29">
        <f>COUNTIFS('📋 Leads'!J2:J611,"*Karim*",'📋 Leads'!B2:B611,"✅ Gagné")</f>
        <v>0</v>
      </c>
      <c r="E17" s="29">
        <f>COUNTIFS('📋 Leads'!J2:J611,"*Karim*",'📋 Leads'!C2:C611,"🔥 Immédiatement")</f>
        <v>27</v>
      </c>
      <c r="F17" s="29">
        <f>COUNTIFS('📋 Leads'!J2:J611,"*Karim*",'📋 Leads'!M2:M611,"✅")</f>
        <v>43</v>
      </c>
    </row>
    <row r="18" spans="1:9" ht="21.75" customHeight="1" x14ac:dyDescent="0.45">
      <c r="A18" s="30" t="s">
        <v>26</v>
      </c>
      <c r="B18" s="31">
        <f>COUNTIF('📋 Leads'!J2:J611,"*Oumaima*")</f>
        <v>4</v>
      </c>
      <c r="C18" s="31">
        <f>COUNTIFS('📋 Leads'!J2:J611,"*Oumaima*",'📋 Leads'!B2:B611,"🔄 En cours")</f>
        <v>4</v>
      </c>
      <c r="D18" s="31">
        <f>COUNTIFS('📋 Leads'!J2:J611,"*Oumaima*",'📋 Leads'!B2:B611,"✅ Gagné")</f>
        <v>0</v>
      </c>
      <c r="E18" s="31">
        <f>COUNTIFS('📋 Leads'!J2:J611,"*Oumaima*",'📋 Leads'!C2:C611,"🔥 Immédiatement")</f>
        <v>1</v>
      </c>
      <c r="F18" s="31">
        <f>COUNTIFS('📋 Leads'!J2:J611,"*Oumaima*",'📋 Leads'!M2:M611,"✅")</f>
        <v>4</v>
      </c>
      <c r="G18" s="32" t="s">
        <v>27</v>
      </c>
      <c r="I18" s="33" t="s">
        <v>28</v>
      </c>
    </row>
    <row r="19" spans="1:9" ht="21.75" customHeight="1" x14ac:dyDescent="0.3">
      <c r="A19" s="24" t="s">
        <v>29</v>
      </c>
      <c r="B19" s="34">
        <f>COUNTIF('📋 Leads'!J2:J611,"*Basma*")</f>
        <v>107</v>
      </c>
      <c r="C19" s="34">
        <f>COUNTIFS('📋 Leads'!J2:J611,"*Basma*",'📋 Leads'!B2:B611,"🔄 En cours")</f>
        <v>1</v>
      </c>
      <c r="D19" s="34">
        <f>COUNTIFS('📋 Leads'!J2:J611,"*Basma*",'📋 Leads'!B2:B611,"✅ Gagné")</f>
        <v>0</v>
      </c>
      <c r="E19" s="34">
        <f>COUNTIFS('📋 Leads'!J2:J611,"*Basma*",'📋 Leads'!C2:C611,"🔥 Immédiatement")</f>
        <v>49</v>
      </c>
      <c r="F19" s="34">
        <f>COUNTIFS('📋 Leads'!J2:J611,"*Basma*",'📋 Leads'!M2:M611,"✅")</f>
        <v>14</v>
      </c>
    </row>
    <row r="21" spans="1:9" ht="15.75" customHeight="1" x14ac:dyDescent="0.3"/>
    <row r="22" spans="1:9" ht="15.75" customHeight="1" x14ac:dyDescent="0.3"/>
    <row r="23" spans="1:9" ht="15.75" customHeight="1" x14ac:dyDescent="0.3"/>
    <row r="24" spans="1:9" ht="15.75" customHeight="1" x14ac:dyDescent="0.3"/>
    <row r="25" spans="1:9" ht="15.75" customHeight="1" x14ac:dyDescent="0.3"/>
    <row r="26" spans="1:9" ht="15.75" customHeight="1" x14ac:dyDescent="0.3"/>
    <row r="27" spans="1:9" ht="15.75" customHeight="1" x14ac:dyDescent="0.3"/>
    <row r="28" spans="1:9" ht="15.75" customHeight="1" x14ac:dyDescent="0.3"/>
    <row r="29" spans="1:9" ht="15.75" customHeight="1" x14ac:dyDescent="0.3"/>
    <row r="30" spans="1:9" ht="15.75" customHeight="1" x14ac:dyDescent="0.3"/>
    <row r="31" spans="1:9" ht="15.75" customHeight="1" x14ac:dyDescent="0.3"/>
    <row r="32" spans="1: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A1:I1"/>
    <mergeCell ref="A7:I7"/>
    <mergeCell ref="A2:I2"/>
    <mergeCell ref="A15:I15"/>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3" customWidth="1"/>
    <col min="2" max="2" width="17.6640625" customWidth="1"/>
    <col min="3" max="3" width="25" customWidth="1"/>
    <col min="4" max="4" width="22" customWidth="1"/>
    <col min="5" max="5" width="18" customWidth="1"/>
    <col min="6" max="6" width="13" customWidth="1"/>
    <col min="7" max="7" width="16" customWidth="1"/>
    <col min="8" max="8" width="20" customWidth="1"/>
    <col min="9" max="9" width="12" customWidth="1"/>
    <col min="10" max="12" width="14" customWidth="1"/>
    <col min="13" max="13" width="10.44140625" customWidth="1"/>
    <col min="14" max="14" width="79.6640625" customWidth="1"/>
    <col min="15" max="15" width="14" customWidth="1"/>
    <col min="16" max="16" width="11" customWidth="1"/>
    <col min="17" max="17" width="20" customWidth="1"/>
    <col min="18" max="18" width="24" customWidth="1"/>
    <col min="19" max="19" width="9" customWidth="1"/>
    <col min="20" max="26" width="8.6640625" customWidth="1"/>
  </cols>
  <sheetData>
    <row r="1" spans="1:19" ht="27.75" customHeight="1" x14ac:dyDescent="0.3">
      <c r="A1" s="35" t="s">
        <v>30</v>
      </c>
      <c r="B1" s="35" t="s">
        <v>31</v>
      </c>
      <c r="C1" s="35" t="s">
        <v>11</v>
      </c>
      <c r="D1" s="35" t="s">
        <v>32</v>
      </c>
      <c r="E1" s="35" t="s">
        <v>33</v>
      </c>
      <c r="F1" s="35" t="s">
        <v>34</v>
      </c>
      <c r="G1" s="35" t="s">
        <v>35</v>
      </c>
      <c r="H1" s="35" t="s">
        <v>36</v>
      </c>
      <c r="I1" s="35" t="s">
        <v>37</v>
      </c>
      <c r="J1" s="35" t="s">
        <v>23</v>
      </c>
      <c r="K1" s="35" t="s">
        <v>38</v>
      </c>
      <c r="L1" s="35" t="s">
        <v>39</v>
      </c>
      <c r="M1" s="35" t="s">
        <v>40</v>
      </c>
      <c r="N1" s="35" t="s">
        <v>41</v>
      </c>
      <c r="O1" s="35" t="s">
        <v>42</v>
      </c>
      <c r="P1" s="35" t="s">
        <v>43</v>
      </c>
      <c r="Q1" s="35" t="s">
        <v>44</v>
      </c>
      <c r="R1" s="35" t="s">
        <v>45</v>
      </c>
      <c r="S1" s="35" t="s">
        <v>46</v>
      </c>
    </row>
    <row r="2" spans="1:19" ht="18" customHeight="1" x14ac:dyDescent="0.3">
      <c r="A2" s="36">
        <v>1</v>
      </c>
      <c r="B2" s="37" t="s">
        <v>5</v>
      </c>
      <c r="C2" s="38" t="s">
        <v>19</v>
      </c>
      <c r="D2" s="38" t="s">
        <v>47</v>
      </c>
      <c r="E2" s="39" t="s">
        <v>13</v>
      </c>
      <c r="F2" s="40" t="s">
        <v>48</v>
      </c>
      <c r="G2" s="41" t="s">
        <v>49</v>
      </c>
      <c r="H2" s="42" t="s">
        <v>50</v>
      </c>
      <c r="I2" s="43"/>
      <c r="J2" s="44" t="s">
        <v>51</v>
      </c>
      <c r="K2" s="45"/>
      <c r="L2" s="45"/>
      <c r="M2" s="46" t="s">
        <v>40</v>
      </c>
      <c r="N2" s="47" t="s">
        <v>52</v>
      </c>
      <c r="O2" s="48" t="s">
        <v>53</v>
      </c>
      <c r="P2" s="49" t="s">
        <v>54</v>
      </c>
      <c r="Q2" s="50" t="s">
        <v>55</v>
      </c>
      <c r="R2" s="50" t="s">
        <v>56</v>
      </c>
      <c r="S2" s="36"/>
    </row>
    <row r="3" spans="1:19" ht="18" customHeight="1" x14ac:dyDescent="0.3">
      <c r="A3" s="36">
        <v>2</v>
      </c>
      <c r="B3" s="37" t="s">
        <v>5</v>
      </c>
      <c r="C3" s="38" t="s">
        <v>19</v>
      </c>
      <c r="D3" s="38" t="s">
        <v>47</v>
      </c>
      <c r="E3" s="39" t="s">
        <v>13</v>
      </c>
      <c r="F3" s="40" t="s">
        <v>48</v>
      </c>
      <c r="G3" s="41" t="s">
        <v>57</v>
      </c>
      <c r="H3" s="42" t="s">
        <v>58</v>
      </c>
      <c r="I3" s="43"/>
      <c r="J3" s="44" t="s">
        <v>51</v>
      </c>
      <c r="K3" s="45"/>
      <c r="L3" s="45"/>
      <c r="M3" s="46" t="s">
        <v>40</v>
      </c>
      <c r="N3" s="47" t="s">
        <v>59</v>
      </c>
      <c r="O3" s="48" t="s">
        <v>53</v>
      </c>
      <c r="P3" s="49" t="s">
        <v>54</v>
      </c>
      <c r="Q3" s="50" t="s">
        <v>60</v>
      </c>
      <c r="R3" s="50" t="s">
        <v>61</v>
      </c>
      <c r="S3" s="36"/>
    </row>
    <row r="4" spans="1:19" ht="18" customHeight="1" x14ac:dyDescent="0.3">
      <c r="A4" s="36">
        <v>3</v>
      </c>
      <c r="B4" s="37" t="s">
        <v>5</v>
      </c>
      <c r="C4" s="38" t="s">
        <v>19</v>
      </c>
      <c r="D4" s="38" t="s">
        <v>47</v>
      </c>
      <c r="E4" s="39" t="s">
        <v>13</v>
      </c>
      <c r="F4" s="40" t="s">
        <v>62</v>
      </c>
      <c r="G4" s="41" t="s">
        <v>63</v>
      </c>
      <c r="H4" s="42" t="s">
        <v>64</v>
      </c>
      <c r="I4" s="51" t="s">
        <v>65</v>
      </c>
      <c r="J4" s="44"/>
      <c r="K4" s="45"/>
      <c r="L4" s="45"/>
      <c r="M4" s="46" t="s">
        <v>40</v>
      </c>
      <c r="N4" s="47" t="s">
        <v>66</v>
      </c>
      <c r="O4" s="48"/>
      <c r="P4" s="49"/>
      <c r="Q4" s="50"/>
      <c r="R4" s="50" t="s">
        <v>67</v>
      </c>
      <c r="S4" s="36" t="s">
        <v>68</v>
      </c>
    </row>
    <row r="5" spans="1:19" ht="18" customHeight="1" x14ac:dyDescent="0.3">
      <c r="A5" s="36">
        <v>4</v>
      </c>
      <c r="B5" s="37" t="s">
        <v>5</v>
      </c>
      <c r="C5" s="38" t="s">
        <v>19</v>
      </c>
      <c r="D5" s="38" t="s">
        <v>47</v>
      </c>
      <c r="E5" s="39" t="s">
        <v>13</v>
      </c>
      <c r="F5" s="40" t="s">
        <v>48</v>
      </c>
      <c r="G5" s="41" t="s">
        <v>69</v>
      </c>
      <c r="H5" s="42" t="s">
        <v>70</v>
      </c>
      <c r="I5" s="51" t="s">
        <v>71</v>
      </c>
      <c r="J5" s="44" t="s">
        <v>51</v>
      </c>
      <c r="K5" s="45"/>
      <c r="L5" s="45"/>
      <c r="M5" s="46" t="s">
        <v>40</v>
      </c>
      <c r="N5" s="47" t="s">
        <v>72</v>
      </c>
      <c r="O5" s="48"/>
      <c r="P5" s="49" t="s">
        <v>73</v>
      </c>
      <c r="Q5" s="50"/>
      <c r="R5" s="50" t="s">
        <v>74</v>
      </c>
      <c r="S5" s="36" t="s">
        <v>68</v>
      </c>
    </row>
    <row r="6" spans="1:19" ht="18" customHeight="1" x14ac:dyDescent="0.3">
      <c r="A6" s="36">
        <v>5</v>
      </c>
      <c r="B6" s="37" t="s">
        <v>5</v>
      </c>
      <c r="C6" s="38" t="s">
        <v>19</v>
      </c>
      <c r="D6" s="38" t="s">
        <v>47</v>
      </c>
      <c r="E6" s="39" t="s">
        <v>13</v>
      </c>
      <c r="F6" s="40" t="s">
        <v>62</v>
      </c>
      <c r="G6" s="41" t="s">
        <v>75</v>
      </c>
      <c r="H6" s="42" t="s">
        <v>76</v>
      </c>
      <c r="I6" s="51" t="s">
        <v>77</v>
      </c>
      <c r="J6" s="44" t="s">
        <v>51</v>
      </c>
      <c r="K6" s="45"/>
      <c r="L6" s="45"/>
      <c r="M6" s="46" t="s">
        <v>40</v>
      </c>
      <c r="N6" s="47" t="s">
        <v>78</v>
      </c>
      <c r="O6" s="48"/>
      <c r="P6" s="49" t="s">
        <v>73</v>
      </c>
      <c r="Q6" s="50"/>
      <c r="R6" s="50" t="s">
        <v>79</v>
      </c>
      <c r="S6" s="36" t="s">
        <v>68</v>
      </c>
    </row>
    <row r="7" spans="1:19" ht="18" customHeight="1" x14ac:dyDescent="0.3">
      <c r="A7" s="36">
        <v>6</v>
      </c>
      <c r="B7" s="37" t="s">
        <v>5</v>
      </c>
      <c r="C7" s="38" t="s">
        <v>19</v>
      </c>
      <c r="D7" s="38" t="s">
        <v>47</v>
      </c>
      <c r="E7" s="39" t="s">
        <v>13</v>
      </c>
      <c r="F7" s="40" t="s">
        <v>80</v>
      </c>
      <c r="G7" s="41" t="s">
        <v>81</v>
      </c>
      <c r="H7" s="42" t="s">
        <v>82</v>
      </c>
      <c r="I7" s="51" t="s">
        <v>83</v>
      </c>
      <c r="J7" s="44" t="s">
        <v>23</v>
      </c>
      <c r="K7" s="45"/>
      <c r="L7" s="45"/>
      <c r="M7" s="46" t="s">
        <v>40</v>
      </c>
      <c r="N7" s="47" t="s">
        <v>84</v>
      </c>
      <c r="O7" s="48"/>
      <c r="P7" s="49"/>
      <c r="Q7" s="50"/>
      <c r="R7" s="50" t="s">
        <v>85</v>
      </c>
      <c r="S7" s="36" t="s">
        <v>68</v>
      </c>
    </row>
    <row r="8" spans="1:19" ht="18" hidden="1" customHeight="1" x14ac:dyDescent="0.3">
      <c r="A8" s="36">
        <v>7</v>
      </c>
      <c r="B8" s="37" t="s">
        <v>5</v>
      </c>
      <c r="C8" s="38" t="s">
        <v>19</v>
      </c>
      <c r="D8" s="38" t="s">
        <v>47</v>
      </c>
      <c r="E8" s="39" t="s">
        <v>14</v>
      </c>
      <c r="F8" s="40" t="s">
        <v>86</v>
      </c>
      <c r="G8" s="41" t="s">
        <v>87</v>
      </c>
      <c r="H8" s="42"/>
      <c r="I8" s="43" t="s">
        <v>88</v>
      </c>
      <c r="J8" s="44"/>
      <c r="K8" s="45"/>
      <c r="L8" s="45"/>
      <c r="M8" s="46" t="s">
        <v>40</v>
      </c>
      <c r="N8" s="47" t="s">
        <v>89</v>
      </c>
      <c r="O8" s="48"/>
      <c r="P8" s="49" t="s">
        <v>73</v>
      </c>
      <c r="Q8" s="50" t="s">
        <v>90</v>
      </c>
      <c r="R8" s="50" t="s">
        <v>91</v>
      </c>
      <c r="S8" s="36" t="s">
        <v>68</v>
      </c>
    </row>
    <row r="9" spans="1:19" ht="18" hidden="1" customHeight="1" x14ac:dyDescent="0.3">
      <c r="A9" s="36">
        <v>8</v>
      </c>
      <c r="B9" s="37" t="s">
        <v>5</v>
      </c>
      <c r="C9" s="38" t="s">
        <v>19</v>
      </c>
      <c r="D9" s="38" t="s">
        <v>47</v>
      </c>
      <c r="E9" s="39" t="s">
        <v>15</v>
      </c>
      <c r="F9" s="40" t="s">
        <v>92</v>
      </c>
      <c r="G9" s="41" t="s">
        <v>93</v>
      </c>
      <c r="H9" s="42" t="s">
        <v>94</v>
      </c>
      <c r="I9" s="43" t="s">
        <v>95</v>
      </c>
      <c r="J9" s="44"/>
      <c r="K9" s="45"/>
      <c r="L9" s="45"/>
      <c r="M9" s="46" t="s">
        <v>40</v>
      </c>
      <c r="N9" s="47" t="s">
        <v>96</v>
      </c>
      <c r="O9" s="48"/>
      <c r="P9" s="49"/>
      <c r="Q9" s="50" t="s">
        <v>97</v>
      </c>
      <c r="R9" s="50" t="s">
        <v>98</v>
      </c>
      <c r="S9" s="36" t="s">
        <v>68</v>
      </c>
    </row>
    <row r="10" spans="1:19" ht="18" hidden="1" customHeight="1" x14ac:dyDescent="0.3">
      <c r="A10" s="36">
        <v>9</v>
      </c>
      <c r="B10" s="37" t="s">
        <v>5</v>
      </c>
      <c r="C10" s="38" t="s">
        <v>19</v>
      </c>
      <c r="D10" s="38" t="s">
        <v>47</v>
      </c>
      <c r="E10" s="39" t="s">
        <v>15</v>
      </c>
      <c r="F10" s="40" t="s">
        <v>80</v>
      </c>
      <c r="G10" s="41" t="s">
        <v>99</v>
      </c>
      <c r="H10" s="42" t="s">
        <v>100</v>
      </c>
      <c r="I10" s="43" t="s">
        <v>101</v>
      </c>
      <c r="J10" s="44"/>
      <c r="K10" s="45"/>
      <c r="L10" s="45"/>
      <c r="M10" s="46" t="s">
        <v>40</v>
      </c>
      <c r="N10" s="47" t="s">
        <v>102</v>
      </c>
      <c r="O10" s="48"/>
      <c r="P10" s="49"/>
      <c r="Q10" s="50" t="s">
        <v>103</v>
      </c>
      <c r="R10" s="50" t="s">
        <v>104</v>
      </c>
      <c r="S10" s="36" t="s">
        <v>68</v>
      </c>
    </row>
    <row r="11" spans="1:19" ht="18" hidden="1" customHeight="1" x14ac:dyDescent="0.3">
      <c r="A11" s="36">
        <v>10</v>
      </c>
      <c r="B11" s="37" t="s">
        <v>5</v>
      </c>
      <c r="C11" s="38" t="s">
        <v>19</v>
      </c>
      <c r="D11" s="38" t="s">
        <v>47</v>
      </c>
      <c r="E11" s="39" t="s">
        <v>15</v>
      </c>
      <c r="F11" s="40" t="s">
        <v>48</v>
      </c>
      <c r="G11" s="41" t="s">
        <v>105</v>
      </c>
      <c r="H11" s="42" t="s">
        <v>106</v>
      </c>
      <c r="I11" s="43" t="s">
        <v>107</v>
      </c>
      <c r="J11" s="44"/>
      <c r="K11" s="45"/>
      <c r="L11" s="45"/>
      <c r="M11" s="46" t="s">
        <v>40</v>
      </c>
      <c r="N11" s="47" t="s">
        <v>108</v>
      </c>
      <c r="O11" s="48"/>
      <c r="P11" s="49"/>
      <c r="Q11" s="50" t="s">
        <v>109</v>
      </c>
      <c r="R11" s="50" t="s">
        <v>110</v>
      </c>
      <c r="S11" s="36" t="s">
        <v>68</v>
      </c>
    </row>
    <row r="12" spans="1:19" ht="18" hidden="1" customHeight="1" x14ac:dyDescent="0.3">
      <c r="A12" s="36">
        <v>11</v>
      </c>
      <c r="B12" s="37" t="s">
        <v>5</v>
      </c>
      <c r="C12" s="38" t="s">
        <v>19</v>
      </c>
      <c r="D12" s="38" t="s">
        <v>47</v>
      </c>
      <c r="E12" s="39" t="s">
        <v>15</v>
      </c>
      <c r="F12" s="40" t="s">
        <v>80</v>
      </c>
      <c r="G12" s="41" t="s">
        <v>111</v>
      </c>
      <c r="H12" s="42" t="s">
        <v>77</v>
      </c>
      <c r="I12" s="43" t="s">
        <v>112</v>
      </c>
      <c r="J12" s="44"/>
      <c r="K12" s="45"/>
      <c r="L12" s="45"/>
      <c r="M12" s="46" t="s">
        <v>40</v>
      </c>
      <c r="N12" s="47" t="s">
        <v>113</v>
      </c>
      <c r="O12" s="48"/>
      <c r="P12" s="49"/>
      <c r="Q12" s="50" t="s">
        <v>109</v>
      </c>
      <c r="R12" s="50" t="s">
        <v>114</v>
      </c>
      <c r="S12" s="36" t="s">
        <v>68</v>
      </c>
    </row>
    <row r="13" spans="1:19" ht="18" hidden="1" customHeight="1" x14ac:dyDescent="0.3">
      <c r="A13" s="36">
        <v>12</v>
      </c>
      <c r="B13" s="37" t="s">
        <v>5</v>
      </c>
      <c r="C13" s="38" t="s">
        <v>19</v>
      </c>
      <c r="D13" s="38" t="s">
        <v>47</v>
      </c>
      <c r="E13" s="39" t="s">
        <v>17</v>
      </c>
      <c r="F13" s="40" t="s">
        <v>115</v>
      </c>
      <c r="G13" s="41" t="s">
        <v>116</v>
      </c>
      <c r="H13" s="42" t="s">
        <v>117</v>
      </c>
      <c r="I13" s="43" t="s">
        <v>118</v>
      </c>
      <c r="J13" s="44"/>
      <c r="K13" s="45"/>
      <c r="L13" s="45"/>
      <c r="M13" s="46" t="s">
        <v>40</v>
      </c>
      <c r="N13" s="47" t="s">
        <v>119</v>
      </c>
      <c r="O13" s="48"/>
      <c r="P13" s="49" t="s">
        <v>73</v>
      </c>
      <c r="Q13" s="50" t="s">
        <v>103</v>
      </c>
      <c r="R13" s="50" t="s">
        <v>120</v>
      </c>
      <c r="S13" s="36" t="s">
        <v>68</v>
      </c>
    </row>
    <row r="14" spans="1:19" ht="18" hidden="1" customHeight="1" x14ac:dyDescent="0.3">
      <c r="A14" s="36">
        <v>13</v>
      </c>
      <c r="B14" s="37" t="s">
        <v>5</v>
      </c>
      <c r="C14" s="38" t="s">
        <v>19</v>
      </c>
      <c r="D14" s="38" t="s">
        <v>47</v>
      </c>
      <c r="E14" s="39" t="s">
        <v>17</v>
      </c>
      <c r="F14" s="40" t="s">
        <v>121</v>
      </c>
      <c r="G14" s="41" t="s">
        <v>122</v>
      </c>
      <c r="H14" s="42" t="s">
        <v>123</v>
      </c>
      <c r="I14" s="43" t="s">
        <v>124</v>
      </c>
      <c r="J14" s="44"/>
      <c r="K14" s="45"/>
      <c r="L14" s="45"/>
      <c r="M14" s="46" t="s">
        <v>40</v>
      </c>
      <c r="N14" s="47" t="s">
        <v>125</v>
      </c>
      <c r="O14" s="48"/>
      <c r="P14" s="49"/>
      <c r="Q14" s="50"/>
      <c r="R14" s="50" t="s">
        <v>126</v>
      </c>
      <c r="S14" s="36" t="s">
        <v>68</v>
      </c>
    </row>
    <row r="15" spans="1:19" ht="18" hidden="1" customHeight="1" x14ac:dyDescent="0.3">
      <c r="A15" s="36">
        <v>14</v>
      </c>
      <c r="B15" s="37" t="s">
        <v>5</v>
      </c>
      <c r="C15" s="38" t="s">
        <v>19</v>
      </c>
      <c r="D15" s="38" t="s">
        <v>47</v>
      </c>
      <c r="E15" s="39" t="s">
        <v>17</v>
      </c>
      <c r="F15" s="40" t="s">
        <v>127</v>
      </c>
      <c r="G15" s="41" t="s">
        <v>128</v>
      </c>
      <c r="H15" s="42" t="s">
        <v>129</v>
      </c>
      <c r="I15" s="43" t="s">
        <v>130</v>
      </c>
      <c r="J15" s="44"/>
      <c r="K15" s="45"/>
      <c r="L15" s="45"/>
      <c r="M15" s="46" t="s">
        <v>40</v>
      </c>
      <c r="N15" s="47" t="s">
        <v>131</v>
      </c>
      <c r="O15" s="48"/>
      <c r="P15" s="49" t="s">
        <v>73</v>
      </c>
      <c r="Q15" s="50" t="s">
        <v>132</v>
      </c>
      <c r="R15" s="50" t="s">
        <v>133</v>
      </c>
      <c r="S15" s="36" t="s">
        <v>68</v>
      </c>
    </row>
    <row r="16" spans="1:19" ht="18" hidden="1" customHeight="1" x14ac:dyDescent="0.3">
      <c r="A16" s="36">
        <v>15</v>
      </c>
      <c r="B16" s="37" t="s">
        <v>5</v>
      </c>
      <c r="C16" s="38" t="s">
        <v>19</v>
      </c>
      <c r="D16" s="38" t="s">
        <v>47</v>
      </c>
      <c r="E16" s="39" t="s">
        <v>17</v>
      </c>
      <c r="F16" s="40" t="s">
        <v>127</v>
      </c>
      <c r="G16" s="41" t="s">
        <v>134</v>
      </c>
      <c r="H16" s="42"/>
      <c r="I16" s="43" t="s">
        <v>135</v>
      </c>
      <c r="J16" s="44"/>
      <c r="K16" s="45"/>
      <c r="L16" s="45"/>
      <c r="M16" s="46" t="s">
        <v>40</v>
      </c>
      <c r="N16" s="47" t="s">
        <v>136</v>
      </c>
      <c r="O16" s="48"/>
      <c r="P16" s="49" t="s">
        <v>73</v>
      </c>
      <c r="Q16" s="50" t="s">
        <v>109</v>
      </c>
      <c r="R16" s="50" t="s">
        <v>137</v>
      </c>
      <c r="S16" s="36" t="s">
        <v>68</v>
      </c>
    </row>
    <row r="17" spans="1:26" ht="18" hidden="1" customHeight="1" x14ac:dyDescent="0.3">
      <c r="A17" s="36">
        <v>16</v>
      </c>
      <c r="B17" s="37" t="s">
        <v>5</v>
      </c>
      <c r="C17" s="38" t="s">
        <v>19</v>
      </c>
      <c r="D17" s="38" t="s">
        <v>47</v>
      </c>
      <c r="E17" s="39" t="s">
        <v>17</v>
      </c>
      <c r="F17" s="40" t="s">
        <v>115</v>
      </c>
      <c r="G17" s="41" t="s">
        <v>138</v>
      </c>
      <c r="H17" s="42" t="s">
        <v>139</v>
      </c>
      <c r="I17" s="43" t="s">
        <v>140</v>
      </c>
      <c r="J17" s="44"/>
      <c r="K17" s="45"/>
      <c r="L17" s="45"/>
      <c r="M17" s="46" t="s">
        <v>40</v>
      </c>
      <c r="N17" s="47" t="s">
        <v>141</v>
      </c>
      <c r="O17" s="48"/>
      <c r="P17" s="49" t="s">
        <v>73</v>
      </c>
      <c r="Q17" s="50" t="s">
        <v>109</v>
      </c>
      <c r="R17" s="50" t="s">
        <v>142</v>
      </c>
      <c r="S17" s="36" t="s">
        <v>68</v>
      </c>
    </row>
    <row r="18" spans="1:26" ht="18" hidden="1" customHeight="1" x14ac:dyDescent="0.3">
      <c r="A18" s="36">
        <v>17</v>
      </c>
      <c r="B18" s="37" t="s">
        <v>5</v>
      </c>
      <c r="C18" s="38" t="s">
        <v>19</v>
      </c>
      <c r="D18" s="38" t="s">
        <v>47</v>
      </c>
      <c r="E18" s="39" t="s">
        <v>17</v>
      </c>
      <c r="F18" s="40" t="s">
        <v>115</v>
      </c>
      <c r="G18" s="41" t="s">
        <v>143</v>
      </c>
      <c r="H18" s="42" t="s">
        <v>144</v>
      </c>
      <c r="I18" s="43" t="s">
        <v>145</v>
      </c>
      <c r="J18" s="44"/>
      <c r="K18" s="45"/>
      <c r="L18" s="45"/>
      <c r="M18" s="46" t="s">
        <v>40</v>
      </c>
      <c r="N18" s="47" t="s">
        <v>146</v>
      </c>
      <c r="O18" s="48"/>
      <c r="P18" s="49"/>
      <c r="Q18" s="50" t="s">
        <v>147</v>
      </c>
      <c r="R18" s="50" t="s">
        <v>148</v>
      </c>
      <c r="S18" s="36" t="s">
        <v>68</v>
      </c>
    </row>
    <row r="19" spans="1:26" ht="18" hidden="1" customHeight="1" x14ac:dyDescent="0.3">
      <c r="A19" s="36">
        <v>18</v>
      </c>
      <c r="B19" s="37" t="s">
        <v>5</v>
      </c>
      <c r="C19" s="52" t="s">
        <v>3</v>
      </c>
      <c r="D19" s="38" t="s">
        <v>47</v>
      </c>
      <c r="E19" s="39" t="s">
        <v>13</v>
      </c>
      <c r="F19" s="40" t="s">
        <v>92</v>
      </c>
      <c r="G19" s="41" t="s">
        <v>149</v>
      </c>
      <c r="H19" s="42" t="s">
        <v>150</v>
      </c>
      <c r="I19" s="43"/>
      <c r="J19" s="44" t="s">
        <v>51</v>
      </c>
      <c r="K19" s="45"/>
      <c r="L19" s="45"/>
      <c r="M19" s="46" t="s">
        <v>40</v>
      </c>
      <c r="N19" s="47" t="s">
        <v>151</v>
      </c>
      <c r="O19" s="48" t="s">
        <v>53</v>
      </c>
      <c r="P19" s="49" t="s">
        <v>54</v>
      </c>
      <c r="Q19" s="50" t="s">
        <v>152</v>
      </c>
      <c r="R19" s="50" t="s">
        <v>153</v>
      </c>
      <c r="S19" s="36"/>
    </row>
    <row r="20" spans="1:26" ht="18" hidden="1" customHeight="1" x14ac:dyDescent="0.3">
      <c r="A20" s="36">
        <v>19</v>
      </c>
      <c r="B20" s="37" t="s">
        <v>5</v>
      </c>
      <c r="C20" s="38" t="s">
        <v>19</v>
      </c>
      <c r="D20" s="53" t="s">
        <v>154</v>
      </c>
      <c r="E20" s="39" t="s">
        <v>14</v>
      </c>
      <c r="F20" s="45"/>
      <c r="G20" s="41" t="s">
        <v>155</v>
      </c>
      <c r="H20" s="42" t="s">
        <v>156</v>
      </c>
      <c r="I20" s="43"/>
      <c r="J20" s="44"/>
      <c r="K20" s="45"/>
      <c r="L20" s="45"/>
      <c r="M20" s="46" t="s">
        <v>40</v>
      </c>
      <c r="N20" s="47" t="s">
        <v>157</v>
      </c>
      <c r="O20" s="48"/>
      <c r="P20" s="49" t="s">
        <v>158</v>
      </c>
      <c r="Q20" s="50" t="s">
        <v>60</v>
      </c>
      <c r="R20" s="50" t="s">
        <v>159</v>
      </c>
      <c r="S20" s="36"/>
    </row>
    <row r="21" spans="1:26" ht="18" hidden="1" customHeight="1" x14ac:dyDescent="0.3">
      <c r="A21" s="36">
        <v>20</v>
      </c>
      <c r="B21" s="37" t="s">
        <v>5</v>
      </c>
      <c r="C21" s="38" t="s">
        <v>19</v>
      </c>
      <c r="D21" s="53" t="s">
        <v>154</v>
      </c>
      <c r="E21" s="39" t="s">
        <v>14</v>
      </c>
      <c r="F21" s="40" t="s">
        <v>86</v>
      </c>
      <c r="G21" s="41" t="s">
        <v>160</v>
      </c>
      <c r="H21" s="42" t="s">
        <v>161</v>
      </c>
      <c r="I21" s="43"/>
      <c r="J21" s="44" t="s">
        <v>51</v>
      </c>
      <c r="K21" s="45"/>
      <c r="L21" s="45"/>
      <c r="M21" s="46" t="s">
        <v>40</v>
      </c>
      <c r="N21" s="47" t="s">
        <v>162</v>
      </c>
      <c r="O21" s="48"/>
      <c r="P21" s="49" t="s">
        <v>54</v>
      </c>
      <c r="Q21" s="50" t="s">
        <v>60</v>
      </c>
      <c r="R21" s="50" t="s">
        <v>163</v>
      </c>
      <c r="S21" s="36"/>
    </row>
    <row r="22" spans="1:26" ht="18" hidden="1" customHeight="1" x14ac:dyDescent="0.3">
      <c r="A22" s="36">
        <v>21</v>
      </c>
      <c r="B22" s="37" t="s">
        <v>5</v>
      </c>
      <c r="C22" s="52" t="s">
        <v>3</v>
      </c>
      <c r="D22" s="53" t="s">
        <v>154</v>
      </c>
      <c r="E22" s="39" t="s">
        <v>14</v>
      </c>
      <c r="F22" s="40" t="s">
        <v>86</v>
      </c>
      <c r="G22" s="41" t="s">
        <v>164</v>
      </c>
      <c r="H22" s="42" t="s">
        <v>165</v>
      </c>
      <c r="I22" s="43"/>
      <c r="J22" s="44" t="s">
        <v>51</v>
      </c>
      <c r="K22" s="45"/>
      <c r="L22" s="45"/>
      <c r="M22" s="46" t="s">
        <v>40</v>
      </c>
      <c r="N22" s="47" t="s">
        <v>166</v>
      </c>
      <c r="O22" s="48"/>
      <c r="P22" s="49" t="s">
        <v>167</v>
      </c>
      <c r="Q22" s="50" t="s">
        <v>55</v>
      </c>
      <c r="R22" s="50" t="s">
        <v>168</v>
      </c>
      <c r="S22" s="36"/>
    </row>
    <row r="23" spans="1:26" ht="18" hidden="1" customHeight="1" x14ac:dyDescent="0.3">
      <c r="A23" s="36">
        <v>22</v>
      </c>
      <c r="B23" s="37" t="s">
        <v>5</v>
      </c>
      <c r="C23" s="52" t="s">
        <v>3</v>
      </c>
      <c r="D23" s="53" t="s">
        <v>154</v>
      </c>
      <c r="E23" s="39" t="s">
        <v>13</v>
      </c>
      <c r="F23" s="40" t="s">
        <v>62</v>
      </c>
      <c r="G23" s="41" t="s">
        <v>169</v>
      </c>
      <c r="H23" s="42" t="s">
        <v>170</v>
      </c>
      <c r="I23" s="43" t="s">
        <v>171</v>
      </c>
      <c r="J23" s="44" t="s">
        <v>51</v>
      </c>
      <c r="K23" s="45"/>
      <c r="L23" s="45"/>
      <c r="M23" s="46" t="s">
        <v>40</v>
      </c>
      <c r="N23" s="47" t="s">
        <v>172</v>
      </c>
      <c r="O23" s="48"/>
      <c r="P23" s="49" t="s">
        <v>73</v>
      </c>
      <c r="Q23" s="50"/>
      <c r="R23" s="50" t="s">
        <v>173</v>
      </c>
      <c r="S23" s="36" t="s">
        <v>68</v>
      </c>
    </row>
    <row r="24" spans="1:26" ht="18" hidden="1" customHeight="1" x14ac:dyDescent="0.3">
      <c r="A24" s="36">
        <v>23</v>
      </c>
      <c r="B24" s="37" t="s">
        <v>5</v>
      </c>
      <c r="C24" s="52" t="s">
        <v>3</v>
      </c>
      <c r="D24" s="53" t="s">
        <v>154</v>
      </c>
      <c r="E24" s="39" t="s">
        <v>13</v>
      </c>
      <c r="F24" s="40" t="s">
        <v>127</v>
      </c>
      <c r="G24" s="41" t="s">
        <v>174</v>
      </c>
      <c r="H24" s="42" t="s">
        <v>175</v>
      </c>
      <c r="I24" s="43" t="s">
        <v>176</v>
      </c>
      <c r="J24" s="44" t="s">
        <v>51</v>
      </c>
      <c r="K24" s="45"/>
      <c r="L24" s="45"/>
      <c r="M24" s="46" t="s">
        <v>40</v>
      </c>
      <c r="N24" s="47" t="s">
        <v>177</v>
      </c>
      <c r="O24" s="48"/>
      <c r="P24" s="49" t="s">
        <v>73</v>
      </c>
      <c r="Q24" s="50" t="s">
        <v>90</v>
      </c>
      <c r="R24" s="50" t="s">
        <v>178</v>
      </c>
      <c r="S24" s="36" t="s">
        <v>68</v>
      </c>
    </row>
    <row r="25" spans="1:26" ht="18" hidden="1" customHeight="1" x14ac:dyDescent="0.3">
      <c r="A25" s="36">
        <v>24</v>
      </c>
      <c r="B25" s="37" t="s">
        <v>5</v>
      </c>
      <c r="C25" s="52" t="s">
        <v>3</v>
      </c>
      <c r="D25" s="53" t="s">
        <v>154</v>
      </c>
      <c r="E25" s="39" t="s">
        <v>14</v>
      </c>
      <c r="F25" s="40" t="s">
        <v>115</v>
      </c>
      <c r="G25" s="41" t="s">
        <v>179</v>
      </c>
      <c r="H25" s="42" t="s">
        <v>180</v>
      </c>
      <c r="I25" s="43" t="s">
        <v>181</v>
      </c>
      <c r="J25" s="44"/>
      <c r="K25" s="45"/>
      <c r="L25" s="45"/>
      <c r="M25" s="54"/>
      <c r="N25" s="47"/>
      <c r="O25" s="48"/>
      <c r="P25" s="49"/>
      <c r="Q25" s="50"/>
      <c r="R25" s="50" t="s">
        <v>182</v>
      </c>
      <c r="S25" s="36" t="s">
        <v>68</v>
      </c>
    </row>
    <row r="26" spans="1:26" ht="18" hidden="1" customHeight="1" x14ac:dyDescent="0.3">
      <c r="A26" s="36">
        <v>25</v>
      </c>
      <c r="B26" s="37" t="s">
        <v>5</v>
      </c>
      <c r="C26" s="52" t="s">
        <v>3</v>
      </c>
      <c r="D26" s="53" t="s">
        <v>154</v>
      </c>
      <c r="E26" s="39" t="s">
        <v>14</v>
      </c>
      <c r="F26" s="40" t="s">
        <v>127</v>
      </c>
      <c r="G26" s="41" t="s">
        <v>183</v>
      </c>
      <c r="H26" s="42" t="s">
        <v>184</v>
      </c>
      <c r="I26" s="43" t="s">
        <v>185</v>
      </c>
      <c r="J26" s="44" t="s">
        <v>186</v>
      </c>
      <c r="K26" s="45"/>
      <c r="L26" s="45"/>
      <c r="M26" s="46" t="s">
        <v>40</v>
      </c>
      <c r="N26" s="47" t="s">
        <v>187</v>
      </c>
      <c r="O26" s="48"/>
      <c r="P26" s="49"/>
      <c r="Q26" s="50"/>
      <c r="R26" s="50" t="s">
        <v>188</v>
      </c>
      <c r="S26" s="36" t="s">
        <v>68</v>
      </c>
    </row>
    <row r="27" spans="1:26" ht="18" hidden="1" customHeight="1" x14ac:dyDescent="0.3">
      <c r="A27" s="55">
        <v>26</v>
      </c>
      <c r="B27" s="56" t="s">
        <v>189</v>
      </c>
      <c r="C27" s="57" t="s">
        <v>3</v>
      </c>
      <c r="D27" s="58" t="s">
        <v>154</v>
      </c>
      <c r="E27" s="59" t="s">
        <v>14</v>
      </c>
      <c r="F27" s="60" t="s">
        <v>127</v>
      </c>
      <c r="G27" s="61" t="s">
        <v>190</v>
      </c>
      <c r="H27" s="62" t="s">
        <v>191</v>
      </c>
      <c r="I27" s="63" t="s">
        <v>192</v>
      </c>
      <c r="J27" s="64"/>
      <c r="K27" s="65"/>
      <c r="L27" s="65"/>
      <c r="M27" s="66" t="s">
        <v>40</v>
      </c>
      <c r="N27" s="67" t="s">
        <v>193</v>
      </c>
      <c r="O27" s="68"/>
      <c r="P27" s="69" t="s">
        <v>73</v>
      </c>
      <c r="Q27" s="70"/>
      <c r="R27" s="70" t="s">
        <v>194</v>
      </c>
      <c r="S27" s="55" t="s">
        <v>68</v>
      </c>
      <c r="T27" s="71"/>
      <c r="U27" s="71"/>
      <c r="V27" s="71"/>
      <c r="W27" s="71"/>
      <c r="X27" s="71"/>
      <c r="Y27" s="71"/>
      <c r="Z27" s="71"/>
    </row>
    <row r="28" spans="1:26" ht="18" hidden="1" customHeight="1" x14ac:dyDescent="0.3">
      <c r="A28" s="36">
        <v>27</v>
      </c>
      <c r="B28" s="37" t="s">
        <v>5</v>
      </c>
      <c r="C28" s="52" t="s">
        <v>3</v>
      </c>
      <c r="D28" s="53" t="s">
        <v>154</v>
      </c>
      <c r="E28" s="39" t="s">
        <v>15</v>
      </c>
      <c r="F28" s="40" t="s">
        <v>62</v>
      </c>
      <c r="G28" s="41" t="s">
        <v>195</v>
      </c>
      <c r="H28" s="42" t="s">
        <v>196</v>
      </c>
      <c r="I28" s="43" t="s">
        <v>197</v>
      </c>
      <c r="J28" s="44"/>
      <c r="K28" s="45"/>
      <c r="L28" s="45"/>
      <c r="M28" s="46" t="s">
        <v>40</v>
      </c>
      <c r="N28" s="47" t="s">
        <v>198</v>
      </c>
      <c r="O28" s="48"/>
      <c r="P28" s="49"/>
      <c r="Q28" s="50" t="s">
        <v>109</v>
      </c>
      <c r="R28" s="50" t="s">
        <v>199</v>
      </c>
      <c r="S28" s="36" t="s">
        <v>68</v>
      </c>
    </row>
    <row r="29" spans="1:26" ht="18" hidden="1" customHeight="1" x14ac:dyDescent="0.3">
      <c r="A29" s="36">
        <v>28</v>
      </c>
      <c r="B29" s="37" t="s">
        <v>5</v>
      </c>
      <c r="C29" s="52" t="s">
        <v>3</v>
      </c>
      <c r="D29" s="53" t="s">
        <v>154</v>
      </c>
      <c r="E29" s="39" t="s">
        <v>16</v>
      </c>
      <c r="F29" s="40" t="s">
        <v>200</v>
      </c>
      <c r="G29" s="41" t="s">
        <v>201</v>
      </c>
      <c r="H29" s="42" t="s">
        <v>202</v>
      </c>
      <c r="I29" s="43" t="s">
        <v>203</v>
      </c>
      <c r="J29" s="44"/>
      <c r="K29" s="45"/>
      <c r="L29" s="45"/>
      <c r="M29" s="46" t="s">
        <v>40</v>
      </c>
      <c r="N29" s="47" t="s">
        <v>204</v>
      </c>
      <c r="O29" s="48"/>
      <c r="P29" s="49"/>
      <c r="Q29" s="50"/>
      <c r="R29" s="50" t="s">
        <v>205</v>
      </c>
      <c r="S29" s="36" t="s">
        <v>68</v>
      </c>
    </row>
    <row r="30" spans="1:26" ht="18" hidden="1" customHeight="1" x14ac:dyDescent="0.3">
      <c r="A30" s="36">
        <v>29</v>
      </c>
      <c r="B30" s="37" t="s">
        <v>5</v>
      </c>
      <c r="C30" s="72" t="s">
        <v>4</v>
      </c>
      <c r="D30" s="73" t="s">
        <v>206</v>
      </c>
      <c r="E30" s="39" t="s">
        <v>14</v>
      </c>
      <c r="F30" s="45"/>
      <c r="G30" s="41" t="s">
        <v>207</v>
      </c>
      <c r="H30" s="42" t="s">
        <v>208</v>
      </c>
      <c r="I30" s="43"/>
      <c r="J30" s="44"/>
      <c r="K30" s="45"/>
      <c r="L30" s="45"/>
      <c r="M30" s="46" t="s">
        <v>40</v>
      </c>
      <c r="N30" s="47" t="s">
        <v>209</v>
      </c>
      <c r="O30" s="48"/>
      <c r="P30" s="49" t="s">
        <v>54</v>
      </c>
      <c r="Q30" s="50" t="s">
        <v>210</v>
      </c>
      <c r="R30" s="50" t="s">
        <v>211</v>
      </c>
      <c r="S30" s="36"/>
    </row>
    <row r="31" spans="1:26" ht="18" hidden="1" customHeight="1" x14ac:dyDescent="0.3">
      <c r="A31" s="36">
        <v>30</v>
      </c>
      <c r="B31" s="37" t="s">
        <v>5</v>
      </c>
      <c r="C31" s="72" t="s">
        <v>4</v>
      </c>
      <c r="D31" s="73" t="s">
        <v>206</v>
      </c>
      <c r="E31" s="39" t="s">
        <v>13</v>
      </c>
      <c r="F31" s="40" t="s">
        <v>80</v>
      </c>
      <c r="G31" s="41" t="s">
        <v>212</v>
      </c>
      <c r="H31" s="42" t="s">
        <v>213</v>
      </c>
      <c r="I31" s="43" t="s">
        <v>214</v>
      </c>
      <c r="J31" s="44"/>
      <c r="K31" s="45"/>
      <c r="L31" s="45"/>
      <c r="M31" s="46" t="s">
        <v>40</v>
      </c>
      <c r="N31" s="47" t="s">
        <v>215</v>
      </c>
      <c r="O31" s="48"/>
      <c r="P31" s="49"/>
      <c r="Q31" s="50"/>
      <c r="R31" s="50" t="s">
        <v>216</v>
      </c>
      <c r="S31" s="36" t="s">
        <v>68</v>
      </c>
    </row>
    <row r="32" spans="1:26" ht="18" hidden="1" customHeight="1" x14ac:dyDescent="0.3">
      <c r="A32" s="36">
        <v>31</v>
      </c>
      <c r="B32" s="37" t="s">
        <v>5</v>
      </c>
      <c r="C32" s="72" t="s">
        <v>4</v>
      </c>
      <c r="D32" s="73" t="s">
        <v>206</v>
      </c>
      <c r="E32" s="39" t="s">
        <v>17</v>
      </c>
      <c r="F32" s="40" t="s">
        <v>115</v>
      </c>
      <c r="G32" s="41" t="s">
        <v>217</v>
      </c>
      <c r="H32" s="42" t="s">
        <v>218</v>
      </c>
      <c r="I32" s="43" t="s">
        <v>219</v>
      </c>
      <c r="J32" s="44"/>
      <c r="K32" s="45"/>
      <c r="L32" s="45"/>
      <c r="M32" s="46" t="s">
        <v>40</v>
      </c>
      <c r="N32" s="47" t="s">
        <v>220</v>
      </c>
      <c r="O32" s="48"/>
      <c r="P32" s="49"/>
      <c r="Q32" s="50" t="s">
        <v>109</v>
      </c>
      <c r="R32" s="50" t="s">
        <v>221</v>
      </c>
      <c r="S32" s="36" t="s">
        <v>68</v>
      </c>
    </row>
    <row r="33" spans="1:26" ht="18" hidden="1" customHeight="1" x14ac:dyDescent="0.3">
      <c r="A33" s="36">
        <v>32</v>
      </c>
      <c r="B33" s="37" t="s">
        <v>5</v>
      </c>
      <c r="C33" s="72" t="s">
        <v>4</v>
      </c>
      <c r="D33" s="73" t="s">
        <v>206</v>
      </c>
      <c r="E33" s="39" t="s">
        <v>17</v>
      </c>
      <c r="F33" s="40" t="s">
        <v>115</v>
      </c>
      <c r="G33" s="41" t="s">
        <v>222</v>
      </c>
      <c r="H33" s="42" t="s">
        <v>223</v>
      </c>
      <c r="I33" s="43" t="s">
        <v>224</v>
      </c>
      <c r="J33" s="44"/>
      <c r="K33" s="45"/>
      <c r="L33" s="45"/>
      <c r="M33" s="46" t="s">
        <v>40</v>
      </c>
      <c r="N33" s="47" t="s">
        <v>225</v>
      </c>
      <c r="O33" s="48"/>
      <c r="P33" s="49"/>
      <c r="Q33" s="50" t="s">
        <v>109</v>
      </c>
      <c r="R33" s="50" t="s">
        <v>226</v>
      </c>
      <c r="S33" s="36" t="s">
        <v>68</v>
      </c>
    </row>
    <row r="34" spans="1:26" ht="18" hidden="1" customHeight="1" x14ac:dyDescent="0.3">
      <c r="A34" s="55">
        <v>33</v>
      </c>
      <c r="B34" s="56" t="s">
        <v>189</v>
      </c>
      <c r="C34" s="74" t="s">
        <v>21</v>
      </c>
      <c r="D34" s="75" t="s">
        <v>206</v>
      </c>
      <c r="E34" s="59" t="s">
        <v>14</v>
      </c>
      <c r="F34" s="60" t="s">
        <v>127</v>
      </c>
      <c r="G34" s="61" t="s">
        <v>227</v>
      </c>
      <c r="H34" s="62" t="s">
        <v>228</v>
      </c>
      <c r="I34" s="63" t="s">
        <v>229</v>
      </c>
      <c r="J34" s="64"/>
      <c r="K34" s="65"/>
      <c r="L34" s="65"/>
      <c r="M34" s="66" t="s">
        <v>40</v>
      </c>
      <c r="N34" s="67" t="s">
        <v>230</v>
      </c>
      <c r="O34" s="68"/>
      <c r="P34" s="69"/>
      <c r="Q34" s="70"/>
      <c r="R34" s="70" t="s">
        <v>231</v>
      </c>
      <c r="S34" s="55" t="s">
        <v>68</v>
      </c>
      <c r="T34" s="71"/>
      <c r="U34" s="71"/>
      <c r="V34" s="71"/>
      <c r="W34" s="71"/>
      <c r="X34" s="71"/>
      <c r="Y34" s="71"/>
      <c r="Z34" s="71"/>
    </row>
    <row r="35" spans="1:26" ht="18" customHeight="1" x14ac:dyDescent="0.3">
      <c r="A35" s="76">
        <v>34</v>
      </c>
      <c r="B35" s="77" t="s">
        <v>5</v>
      </c>
      <c r="C35" s="78" t="s">
        <v>19</v>
      </c>
      <c r="D35" s="79" t="s">
        <v>206</v>
      </c>
      <c r="E35" s="80" t="s">
        <v>13</v>
      </c>
      <c r="F35" s="81"/>
      <c r="G35" s="82" t="s">
        <v>232</v>
      </c>
      <c r="H35" s="83" t="s">
        <v>233</v>
      </c>
      <c r="I35" s="84" t="s">
        <v>234</v>
      </c>
      <c r="J35" s="85" t="s">
        <v>235</v>
      </c>
      <c r="K35" s="81"/>
      <c r="L35" s="81"/>
      <c r="M35" s="86" t="s">
        <v>40</v>
      </c>
      <c r="N35" s="87" t="s">
        <v>236</v>
      </c>
      <c r="O35" s="78"/>
      <c r="P35" s="88" t="s">
        <v>73</v>
      </c>
      <c r="Q35" s="89" t="s">
        <v>237</v>
      </c>
      <c r="R35" s="89"/>
      <c r="S35" s="76" t="s">
        <v>68</v>
      </c>
    </row>
    <row r="36" spans="1:26" ht="18" hidden="1" customHeight="1" x14ac:dyDescent="0.3">
      <c r="A36" s="90">
        <v>35</v>
      </c>
      <c r="B36" s="91" t="s">
        <v>189</v>
      </c>
      <c r="C36" s="91" t="s">
        <v>19</v>
      </c>
      <c r="D36" s="91" t="s">
        <v>47</v>
      </c>
      <c r="E36" s="92" t="s">
        <v>14</v>
      </c>
      <c r="F36" s="93" t="s">
        <v>86</v>
      </c>
      <c r="G36" s="94" t="s">
        <v>238</v>
      </c>
      <c r="H36" s="95"/>
      <c r="I36" s="96" t="s">
        <v>239</v>
      </c>
      <c r="J36" s="97"/>
      <c r="K36" s="98"/>
      <c r="L36" s="98"/>
      <c r="M36" s="99" t="s">
        <v>40</v>
      </c>
      <c r="N36" s="100" t="s">
        <v>240</v>
      </c>
      <c r="O36" s="101"/>
      <c r="P36" s="102"/>
      <c r="Q36" s="103" t="s">
        <v>241</v>
      </c>
      <c r="R36" s="103" t="s">
        <v>242</v>
      </c>
      <c r="S36" s="90" t="s">
        <v>68</v>
      </c>
      <c r="T36" s="71"/>
      <c r="U36" s="71"/>
      <c r="V36" s="71"/>
      <c r="W36" s="71"/>
      <c r="X36" s="71"/>
      <c r="Y36" s="71"/>
      <c r="Z36" s="71"/>
    </row>
    <row r="37" spans="1:26" ht="18" hidden="1" customHeight="1" x14ac:dyDescent="0.3">
      <c r="A37" s="104">
        <v>36</v>
      </c>
      <c r="B37" s="105" t="s">
        <v>189</v>
      </c>
      <c r="C37" s="105" t="s">
        <v>19</v>
      </c>
      <c r="D37" s="105" t="s">
        <v>47</v>
      </c>
      <c r="E37" s="106" t="s">
        <v>14</v>
      </c>
      <c r="F37" s="107"/>
      <c r="G37" s="108" t="s">
        <v>243</v>
      </c>
      <c r="H37" s="109" t="s">
        <v>244</v>
      </c>
      <c r="I37" s="110" t="s">
        <v>245</v>
      </c>
      <c r="J37" s="111" t="s">
        <v>186</v>
      </c>
      <c r="K37" s="107"/>
      <c r="L37" s="107"/>
      <c r="M37" s="112" t="s">
        <v>40</v>
      </c>
      <c r="N37" s="113" t="s">
        <v>246</v>
      </c>
      <c r="O37" s="114"/>
      <c r="P37" s="115" t="s">
        <v>73</v>
      </c>
      <c r="Q37" s="116" t="s">
        <v>247</v>
      </c>
      <c r="R37" s="116" t="s">
        <v>248</v>
      </c>
      <c r="S37" s="104" t="s">
        <v>249</v>
      </c>
      <c r="T37" s="71"/>
      <c r="U37" s="71"/>
      <c r="V37" s="71"/>
      <c r="W37" s="71"/>
      <c r="X37" s="71"/>
      <c r="Y37" s="71"/>
      <c r="Z37" s="71"/>
    </row>
    <row r="38" spans="1:26" ht="18" customHeight="1" x14ac:dyDescent="0.3">
      <c r="A38" s="117">
        <v>37</v>
      </c>
      <c r="B38" s="118" t="s">
        <v>250</v>
      </c>
      <c r="C38" s="119" t="s">
        <v>19</v>
      </c>
      <c r="D38" s="119" t="s">
        <v>47</v>
      </c>
      <c r="E38" s="120" t="s">
        <v>13</v>
      </c>
      <c r="F38" s="121"/>
      <c r="G38" s="122" t="s">
        <v>251</v>
      </c>
      <c r="H38" s="123" t="s">
        <v>252</v>
      </c>
      <c r="I38" s="124"/>
      <c r="J38" s="125" t="s">
        <v>51</v>
      </c>
      <c r="K38" s="121"/>
      <c r="L38" s="121"/>
      <c r="M38" s="126" t="s">
        <v>40</v>
      </c>
      <c r="N38" s="127" t="s">
        <v>253</v>
      </c>
      <c r="O38" s="128" t="s">
        <v>53</v>
      </c>
      <c r="P38" s="129" t="s">
        <v>54</v>
      </c>
      <c r="Q38" s="130" t="s">
        <v>254</v>
      </c>
      <c r="R38" s="130" t="s">
        <v>255</v>
      </c>
      <c r="S38" s="117"/>
    </row>
    <row r="39" spans="1:26" ht="18" customHeight="1" x14ac:dyDescent="0.3">
      <c r="A39" s="131">
        <v>38</v>
      </c>
      <c r="B39" s="132" t="s">
        <v>5</v>
      </c>
      <c r="C39" s="133" t="s">
        <v>19</v>
      </c>
      <c r="D39" s="133" t="s">
        <v>47</v>
      </c>
      <c r="E39" s="134" t="s">
        <v>13</v>
      </c>
      <c r="F39" s="135"/>
      <c r="G39" s="136" t="s">
        <v>256</v>
      </c>
      <c r="H39" s="137" t="s">
        <v>171</v>
      </c>
      <c r="I39" s="138"/>
      <c r="J39" s="139" t="s">
        <v>23</v>
      </c>
      <c r="K39" s="135"/>
      <c r="L39" s="135"/>
      <c r="M39" s="140" t="s">
        <v>257</v>
      </c>
      <c r="N39" s="141"/>
      <c r="O39" s="142" t="s">
        <v>53</v>
      </c>
      <c r="P39" s="143" t="s">
        <v>54</v>
      </c>
      <c r="Q39" s="144" t="s">
        <v>258</v>
      </c>
      <c r="R39" s="144" t="s">
        <v>259</v>
      </c>
      <c r="S39" s="131"/>
    </row>
    <row r="40" spans="1:26" ht="18" customHeight="1" x14ac:dyDescent="0.3">
      <c r="A40" s="131">
        <v>39</v>
      </c>
      <c r="B40" s="132" t="s">
        <v>5</v>
      </c>
      <c r="C40" s="133" t="s">
        <v>19</v>
      </c>
      <c r="D40" s="133" t="s">
        <v>47</v>
      </c>
      <c r="E40" s="134" t="s">
        <v>13</v>
      </c>
      <c r="F40" s="135"/>
      <c r="G40" s="136" t="s">
        <v>260</v>
      </c>
      <c r="H40" s="137" t="s">
        <v>261</v>
      </c>
      <c r="I40" s="145" t="s">
        <v>262</v>
      </c>
      <c r="J40" s="139" t="s">
        <v>51</v>
      </c>
      <c r="K40" s="135"/>
      <c r="L40" s="135"/>
      <c r="M40" s="140" t="s">
        <v>40</v>
      </c>
      <c r="N40" s="141" t="s">
        <v>263</v>
      </c>
      <c r="O40" s="142" t="s">
        <v>53</v>
      </c>
      <c r="P40" s="143" t="s">
        <v>54</v>
      </c>
      <c r="Q40" s="144" t="s">
        <v>264</v>
      </c>
      <c r="R40" s="144" t="s">
        <v>265</v>
      </c>
      <c r="S40" s="131"/>
    </row>
    <row r="41" spans="1:26" ht="18" customHeight="1" x14ac:dyDescent="0.3">
      <c r="A41" s="131">
        <v>40</v>
      </c>
      <c r="B41" s="132" t="s">
        <v>250</v>
      </c>
      <c r="C41" s="133" t="s">
        <v>19</v>
      </c>
      <c r="D41" s="133" t="s">
        <v>47</v>
      </c>
      <c r="E41" s="134" t="s">
        <v>13</v>
      </c>
      <c r="F41" s="135"/>
      <c r="G41" s="136" t="s">
        <v>266</v>
      </c>
      <c r="H41" s="137" t="s">
        <v>267</v>
      </c>
      <c r="I41" s="145" t="s">
        <v>268</v>
      </c>
      <c r="J41" s="139" t="s">
        <v>186</v>
      </c>
      <c r="K41" s="135"/>
      <c r="L41" s="135"/>
      <c r="M41" s="140" t="s">
        <v>40</v>
      </c>
      <c r="N41" s="141" t="s">
        <v>269</v>
      </c>
      <c r="O41" s="142" t="s">
        <v>53</v>
      </c>
      <c r="P41" s="143" t="s">
        <v>54</v>
      </c>
      <c r="Q41" s="144" t="s">
        <v>264</v>
      </c>
      <c r="R41" s="144" t="s">
        <v>270</v>
      </c>
      <c r="S41" s="131"/>
    </row>
    <row r="42" spans="1:26" ht="18" hidden="1" customHeight="1" x14ac:dyDescent="0.3">
      <c r="A42" s="131">
        <v>41</v>
      </c>
      <c r="B42" s="132" t="s">
        <v>250</v>
      </c>
      <c r="C42" s="133" t="s">
        <v>19</v>
      </c>
      <c r="D42" s="133" t="s">
        <v>47</v>
      </c>
      <c r="E42" s="134" t="s">
        <v>13</v>
      </c>
      <c r="F42" s="135"/>
      <c r="G42" s="136" t="s">
        <v>271</v>
      </c>
      <c r="H42" s="137" t="s">
        <v>272</v>
      </c>
      <c r="I42" s="138"/>
      <c r="J42" s="139" t="s">
        <v>186</v>
      </c>
      <c r="K42" s="135"/>
      <c r="L42" s="135"/>
      <c r="M42" s="140"/>
      <c r="N42" s="141"/>
      <c r="O42" s="142" t="s">
        <v>53</v>
      </c>
      <c r="P42" s="143" t="s">
        <v>273</v>
      </c>
      <c r="Q42" s="144" t="s">
        <v>264</v>
      </c>
      <c r="R42" s="144" t="s">
        <v>274</v>
      </c>
      <c r="S42" s="131"/>
    </row>
    <row r="43" spans="1:26" ht="18" customHeight="1" x14ac:dyDescent="0.3">
      <c r="A43" s="117">
        <v>42</v>
      </c>
      <c r="B43" s="118" t="s">
        <v>5</v>
      </c>
      <c r="C43" s="119" t="s">
        <v>19</v>
      </c>
      <c r="D43" s="119" t="s">
        <v>47</v>
      </c>
      <c r="E43" s="120" t="s">
        <v>13</v>
      </c>
      <c r="F43" s="146" t="s">
        <v>275</v>
      </c>
      <c r="G43" s="122" t="s">
        <v>276</v>
      </c>
      <c r="H43" s="123" t="s">
        <v>277</v>
      </c>
      <c r="I43" s="147" t="s">
        <v>101</v>
      </c>
      <c r="J43" s="125" t="s">
        <v>51</v>
      </c>
      <c r="K43" s="121"/>
      <c r="L43" s="121"/>
      <c r="M43" s="126" t="s">
        <v>40</v>
      </c>
      <c r="N43" s="127" t="s">
        <v>278</v>
      </c>
      <c r="O43" s="128" t="s">
        <v>53</v>
      </c>
      <c r="P43" s="129" t="s">
        <v>279</v>
      </c>
      <c r="Q43" s="130" t="s">
        <v>264</v>
      </c>
      <c r="R43" s="130" t="s">
        <v>280</v>
      </c>
      <c r="S43" s="117"/>
    </row>
    <row r="44" spans="1:26" ht="18" hidden="1" customHeight="1" x14ac:dyDescent="0.3">
      <c r="A44" s="131">
        <v>43</v>
      </c>
      <c r="B44" s="132" t="s">
        <v>250</v>
      </c>
      <c r="C44" s="133" t="s">
        <v>19</v>
      </c>
      <c r="D44" s="133" t="s">
        <v>47</v>
      </c>
      <c r="E44" s="134" t="s">
        <v>13</v>
      </c>
      <c r="F44" s="135"/>
      <c r="G44" s="136" t="s">
        <v>281</v>
      </c>
      <c r="H44" s="137" t="s">
        <v>282</v>
      </c>
      <c r="I44" s="138"/>
      <c r="J44" s="139"/>
      <c r="K44" s="135"/>
      <c r="L44" s="135"/>
      <c r="M44" s="140"/>
      <c r="N44" s="141"/>
      <c r="O44" s="142" t="s">
        <v>53</v>
      </c>
      <c r="P44" s="143" t="s">
        <v>54</v>
      </c>
      <c r="Q44" s="144" t="s">
        <v>264</v>
      </c>
      <c r="R44" s="144" t="s">
        <v>283</v>
      </c>
      <c r="S44" s="131"/>
    </row>
    <row r="45" spans="1:26" ht="18" hidden="1" customHeight="1" x14ac:dyDescent="0.3">
      <c r="A45" s="131">
        <v>44</v>
      </c>
      <c r="B45" s="132" t="s">
        <v>250</v>
      </c>
      <c r="C45" s="133" t="s">
        <v>19</v>
      </c>
      <c r="D45" s="133" t="s">
        <v>47</v>
      </c>
      <c r="E45" s="134" t="s">
        <v>13</v>
      </c>
      <c r="F45" s="135"/>
      <c r="G45" s="136" t="s">
        <v>284</v>
      </c>
      <c r="H45" s="137" t="s">
        <v>285</v>
      </c>
      <c r="I45" s="138"/>
      <c r="J45" s="139" t="s">
        <v>186</v>
      </c>
      <c r="K45" s="135"/>
      <c r="L45" s="135"/>
      <c r="M45" s="140"/>
      <c r="N45" s="141"/>
      <c r="O45" s="142" t="s">
        <v>53</v>
      </c>
      <c r="P45" s="143" t="s">
        <v>73</v>
      </c>
      <c r="Q45" s="144" t="s">
        <v>264</v>
      </c>
      <c r="R45" s="144" t="s">
        <v>286</v>
      </c>
      <c r="S45" s="131"/>
    </row>
    <row r="46" spans="1:26" ht="18" hidden="1" customHeight="1" x14ac:dyDescent="0.3">
      <c r="A46" s="131">
        <v>45</v>
      </c>
      <c r="B46" s="132" t="s">
        <v>250</v>
      </c>
      <c r="C46" s="133" t="s">
        <v>19</v>
      </c>
      <c r="D46" s="133" t="s">
        <v>47</v>
      </c>
      <c r="E46" s="134" t="s">
        <v>14</v>
      </c>
      <c r="F46" s="135"/>
      <c r="G46" s="136" t="s">
        <v>287</v>
      </c>
      <c r="H46" s="137" t="s">
        <v>288</v>
      </c>
      <c r="I46" s="138"/>
      <c r="J46" s="139"/>
      <c r="K46" s="135"/>
      <c r="L46" s="135"/>
      <c r="M46" s="148" t="s">
        <v>40</v>
      </c>
      <c r="N46" s="141" t="s">
        <v>289</v>
      </c>
      <c r="O46" s="142" t="s">
        <v>290</v>
      </c>
      <c r="P46" s="143" t="s">
        <v>291</v>
      </c>
      <c r="Q46" s="144" t="s">
        <v>292</v>
      </c>
      <c r="R46" s="144" t="s">
        <v>293</v>
      </c>
      <c r="S46" s="131"/>
    </row>
    <row r="47" spans="1:26" ht="18" hidden="1" customHeight="1" x14ac:dyDescent="0.3">
      <c r="A47" s="90">
        <v>46</v>
      </c>
      <c r="B47" s="149" t="s">
        <v>189</v>
      </c>
      <c r="C47" s="91" t="s">
        <v>19</v>
      </c>
      <c r="D47" s="91" t="s">
        <v>47</v>
      </c>
      <c r="E47" s="92" t="s">
        <v>14</v>
      </c>
      <c r="F47" s="98"/>
      <c r="G47" s="94" t="s">
        <v>294</v>
      </c>
      <c r="H47" s="95" t="s">
        <v>295</v>
      </c>
      <c r="I47" s="96"/>
      <c r="J47" s="97"/>
      <c r="K47" s="98"/>
      <c r="L47" s="98"/>
      <c r="M47" s="99" t="s">
        <v>40</v>
      </c>
      <c r="N47" s="100" t="s">
        <v>296</v>
      </c>
      <c r="O47" s="101"/>
      <c r="P47" s="102" t="s">
        <v>297</v>
      </c>
      <c r="Q47" s="103" t="s">
        <v>298</v>
      </c>
      <c r="R47" s="103" t="s">
        <v>299</v>
      </c>
      <c r="S47" s="90"/>
      <c r="T47" s="71"/>
      <c r="U47" s="71"/>
      <c r="V47" s="71"/>
      <c r="W47" s="71"/>
      <c r="X47" s="71"/>
      <c r="Y47" s="71"/>
      <c r="Z47" s="71"/>
    </row>
    <row r="48" spans="1:26" ht="18" hidden="1" customHeight="1" x14ac:dyDescent="0.3">
      <c r="A48" s="131">
        <v>47</v>
      </c>
      <c r="B48" s="132" t="s">
        <v>250</v>
      </c>
      <c r="C48" s="133" t="s">
        <v>19</v>
      </c>
      <c r="D48" s="133" t="s">
        <v>47</v>
      </c>
      <c r="E48" s="134" t="s">
        <v>13</v>
      </c>
      <c r="F48" s="135"/>
      <c r="G48" s="136" t="s">
        <v>300</v>
      </c>
      <c r="H48" s="137" t="s">
        <v>301</v>
      </c>
      <c r="I48" s="138" t="s">
        <v>234</v>
      </c>
      <c r="J48" s="139"/>
      <c r="K48" s="135"/>
      <c r="L48" s="135"/>
      <c r="M48" s="140"/>
      <c r="N48" s="141"/>
      <c r="O48" s="142" t="s">
        <v>53</v>
      </c>
      <c r="P48" s="143" t="s">
        <v>54</v>
      </c>
      <c r="Q48" s="144" t="s">
        <v>152</v>
      </c>
      <c r="R48" s="144" t="s">
        <v>302</v>
      </c>
      <c r="S48" s="131"/>
    </row>
    <row r="49" spans="1:19" ht="18" customHeight="1" x14ac:dyDescent="0.3">
      <c r="A49" s="117">
        <v>48</v>
      </c>
      <c r="B49" s="118" t="s">
        <v>5</v>
      </c>
      <c r="C49" s="119" t="s">
        <v>19</v>
      </c>
      <c r="D49" s="119" t="s">
        <v>47</v>
      </c>
      <c r="E49" s="120" t="s">
        <v>13</v>
      </c>
      <c r="F49" s="121"/>
      <c r="G49" s="122" t="s">
        <v>303</v>
      </c>
      <c r="H49" s="123" t="s">
        <v>304</v>
      </c>
      <c r="I49" s="147" t="s">
        <v>305</v>
      </c>
      <c r="J49" s="125" t="s">
        <v>51</v>
      </c>
      <c r="K49" s="121"/>
      <c r="L49" s="121"/>
      <c r="M49" s="126" t="s">
        <v>40</v>
      </c>
      <c r="N49" s="127" t="s">
        <v>306</v>
      </c>
      <c r="O49" s="128" t="s">
        <v>53</v>
      </c>
      <c r="P49" s="129" t="s">
        <v>54</v>
      </c>
      <c r="Q49" s="130" t="s">
        <v>254</v>
      </c>
      <c r="R49" s="130" t="s">
        <v>307</v>
      </c>
      <c r="S49" s="117"/>
    </row>
    <row r="50" spans="1:19" ht="18" customHeight="1" x14ac:dyDescent="0.3">
      <c r="A50" s="117">
        <v>49</v>
      </c>
      <c r="B50" s="118" t="s">
        <v>250</v>
      </c>
      <c r="C50" s="119" t="s">
        <v>19</v>
      </c>
      <c r="D50" s="119" t="s">
        <v>47</v>
      </c>
      <c r="E50" s="120" t="s">
        <v>13</v>
      </c>
      <c r="F50" s="146" t="s">
        <v>80</v>
      </c>
      <c r="G50" s="122" t="s">
        <v>308</v>
      </c>
      <c r="H50" s="123" t="s">
        <v>309</v>
      </c>
      <c r="I50" s="147" t="s">
        <v>310</v>
      </c>
      <c r="J50" s="125" t="s">
        <v>186</v>
      </c>
      <c r="K50" s="121"/>
      <c r="L50" s="121"/>
      <c r="M50" s="126" t="s">
        <v>40</v>
      </c>
      <c r="N50" s="127" t="s">
        <v>311</v>
      </c>
      <c r="O50" s="128" t="s">
        <v>53</v>
      </c>
      <c r="P50" s="129" t="s">
        <v>54</v>
      </c>
      <c r="Q50" s="130" t="s">
        <v>254</v>
      </c>
      <c r="R50" s="130" t="s">
        <v>312</v>
      </c>
      <c r="S50" s="117"/>
    </row>
    <row r="51" spans="1:19" ht="18" customHeight="1" x14ac:dyDescent="0.3">
      <c r="A51" s="131">
        <v>50</v>
      </c>
      <c r="B51" s="132" t="s">
        <v>250</v>
      </c>
      <c r="C51" s="133" t="s">
        <v>19</v>
      </c>
      <c r="D51" s="133" t="s">
        <v>47</v>
      </c>
      <c r="E51" s="134" t="s">
        <v>13</v>
      </c>
      <c r="F51" s="150" t="s">
        <v>313</v>
      </c>
      <c r="G51" s="136" t="s">
        <v>314</v>
      </c>
      <c r="H51" s="137" t="s">
        <v>315</v>
      </c>
      <c r="I51" s="145" t="s">
        <v>316</v>
      </c>
      <c r="J51" s="139" t="s">
        <v>186</v>
      </c>
      <c r="K51" s="135"/>
      <c r="L51" s="135"/>
      <c r="M51" s="140" t="s">
        <v>40</v>
      </c>
      <c r="N51" s="141" t="s">
        <v>317</v>
      </c>
      <c r="O51" s="142" t="s">
        <v>53</v>
      </c>
      <c r="P51" s="143" t="s">
        <v>318</v>
      </c>
      <c r="Q51" s="144" t="s">
        <v>264</v>
      </c>
      <c r="R51" s="144" t="s">
        <v>319</v>
      </c>
      <c r="S51" s="131"/>
    </row>
    <row r="52" spans="1:19" ht="18" customHeight="1" x14ac:dyDescent="0.3">
      <c r="A52" s="131">
        <v>51</v>
      </c>
      <c r="B52" s="132" t="s">
        <v>250</v>
      </c>
      <c r="C52" s="133" t="s">
        <v>19</v>
      </c>
      <c r="D52" s="133" t="s">
        <v>47</v>
      </c>
      <c r="E52" s="134" t="s">
        <v>13</v>
      </c>
      <c r="F52" s="135"/>
      <c r="G52" s="136" t="s">
        <v>320</v>
      </c>
      <c r="H52" s="137" t="s">
        <v>315</v>
      </c>
      <c r="I52" s="145" t="s">
        <v>321</v>
      </c>
      <c r="J52" s="139" t="s">
        <v>186</v>
      </c>
      <c r="K52" s="135"/>
      <c r="L52" s="135"/>
      <c r="M52" s="140" t="s">
        <v>40</v>
      </c>
      <c r="N52" s="141" t="s">
        <v>322</v>
      </c>
      <c r="O52" s="142" t="s">
        <v>53</v>
      </c>
      <c r="P52" s="143" t="s">
        <v>291</v>
      </c>
      <c r="Q52" s="144" t="s">
        <v>323</v>
      </c>
      <c r="R52" s="144" t="s">
        <v>324</v>
      </c>
      <c r="S52" s="131"/>
    </row>
    <row r="53" spans="1:19" ht="18" customHeight="1" x14ac:dyDescent="0.3">
      <c r="A53" s="117">
        <v>52</v>
      </c>
      <c r="B53" s="118" t="s">
        <v>5</v>
      </c>
      <c r="C53" s="119" t="s">
        <v>19</v>
      </c>
      <c r="D53" s="119" t="s">
        <v>47</v>
      </c>
      <c r="E53" s="120" t="s">
        <v>13</v>
      </c>
      <c r="F53" s="121"/>
      <c r="G53" s="122" t="s">
        <v>325</v>
      </c>
      <c r="H53" s="123" t="s">
        <v>326</v>
      </c>
      <c r="I53" s="147" t="s">
        <v>327</v>
      </c>
      <c r="J53" s="125" t="s">
        <v>51</v>
      </c>
      <c r="K53" s="121"/>
      <c r="L53" s="121"/>
      <c r="M53" s="126" t="s">
        <v>40</v>
      </c>
      <c r="N53" s="127" t="s">
        <v>328</v>
      </c>
      <c r="O53" s="128" t="s">
        <v>53</v>
      </c>
      <c r="P53" s="129" t="s">
        <v>329</v>
      </c>
      <c r="Q53" s="130" t="s">
        <v>254</v>
      </c>
      <c r="R53" s="130" t="s">
        <v>330</v>
      </c>
      <c r="S53" s="117"/>
    </row>
    <row r="54" spans="1:19" ht="18" hidden="1" customHeight="1" x14ac:dyDescent="0.3">
      <c r="A54" s="131">
        <v>53</v>
      </c>
      <c r="B54" s="132" t="s">
        <v>250</v>
      </c>
      <c r="C54" s="133" t="s">
        <v>19</v>
      </c>
      <c r="D54" s="133" t="s">
        <v>47</v>
      </c>
      <c r="E54" s="134" t="s">
        <v>13</v>
      </c>
      <c r="F54" s="135"/>
      <c r="G54" s="136" t="s">
        <v>331</v>
      </c>
      <c r="H54" s="137" t="s">
        <v>332</v>
      </c>
      <c r="I54" s="138"/>
      <c r="J54" s="139"/>
      <c r="K54" s="135"/>
      <c r="L54" s="135"/>
      <c r="M54" s="140"/>
      <c r="N54" s="141"/>
      <c r="O54" s="142" t="s">
        <v>53</v>
      </c>
      <c r="P54" s="143" t="s">
        <v>333</v>
      </c>
      <c r="Q54" s="144" t="s">
        <v>258</v>
      </c>
      <c r="R54" s="144" t="s">
        <v>334</v>
      </c>
      <c r="S54" s="131"/>
    </row>
    <row r="55" spans="1:19" ht="18" customHeight="1" x14ac:dyDescent="0.3">
      <c r="A55" s="131">
        <v>54</v>
      </c>
      <c r="B55" s="132" t="s">
        <v>5</v>
      </c>
      <c r="C55" s="133" t="s">
        <v>19</v>
      </c>
      <c r="D55" s="133" t="s">
        <v>47</v>
      </c>
      <c r="E55" s="134" t="s">
        <v>13</v>
      </c>
      <c r="F55" s="135" t="s">
        <v>335</v>
      </c>
      <c r="G55" s="136" t="s">
        <v>336</v>
      </c>
      <c r="H55" s="137" t="s">
        <v>337</v>
      </c>
      <c r="I55" s="145" t="s">
        <v>338</v>
      </c>
      <c r="J55" s="139" t="s">
        <v>51</v>
      </c>
      <c r="K55" s="135"/>
      <c r="L55" s="135"/>
      <c r="M55" s="140" t="s">
        <v>40</v>
      </c>
      <c r="N55" s="141" t="s">
        <v>339</v>
      </c>
      <c r="O55" s="142" t="s">
        <v>53</v>
      </c>
      <c r="P55" s="143" t="s">
        <v>340</v>
      </c>
      <c r="Q55" s="144" t="s">
        <v>254</v>
      </c>
      <c r="R55" s="144" t="s">
        <v>341</v>
      </c>
      <c r="S55" s="131"/>
    </row>
    <row r="56" spans="1:19" ht="18" hidden="1" customHeight="1" x14ac:dyDescent="0.3">
      <c r="A56" s="131">
        <v>55</v>
      </c>
      <c r="B56" s="132" t="s">
        <v>250</v>
      </c>
      <c r="C56" s="133" t="s">
        <v>19</v>
      </c>
      <c r="D56" s="133" t="s">
        <v>47</v>
      </c>
      <c r="E56" s="134" t="s">
        <v>14</v>
      </c>
      <c r="F56" s="135"/>
      <c r="G56" s="136" t="s">
        <v>342</v>
      </c>
      <c r="H56" s="137" t="s">
        <v>343</v>
      </c>
      <c r="I56" s="138"/>
      <c r="J56" s="139"/>
      <c r="K56" s="135"/>
      <c r="L56" s="135"/>
      <c r="M56" s="148" t="s">
        <v>257</v>
      </c>
      <c r="N56" s="141"/>
      <c r="O56" s="142"/>
      <c r="P56" s="143" t="s">
        <v>344</v>
      </c>
      <c r="Q56" s="144" t="s">
        <v>345</v>
      </c>
      <c r="R56" s="144" t="s">
        <v>346</v>
      </c>
      <c r="S56" s="131"/>
    </row>
    <row r="57" spans="1:19" ht="18" hidden="1" customHeight="1" x14ac:dyDescent="0.3">
      <c r="A57" s="131">
        <v>56</v>
      </c>
      <c r="B57" s="132" t="s">
        <v>250</v>
      </c>
      <c r="C57" s="133" t="s">
        <v>19</v>
      </c>
      <c r="D57" s="133" t="s">
        <v>47</v>
      </c>
      <c r="E57" s="134" t="s">
        <v>14</v>
      </c>
      <c r="F57" s="135"/>
      <c r="G57" s="136" t="s">
        <v>347</v>
      </c>
      <c r="H57" s="137" t="s">
        <v>348</v>
      </c>
      <c r="I57" s="138"/>
      <c r="J57" s="139"/>
      <c r="K57" s="135"/>
      <c r="L57" s="135"/>
      <c r="M57" s="148" t="s">
        <v>257</v>
      </c>
      <c r="N57" s="141"/>
      <c r="O57" s="142"/>
      <c r="P57" s="143" t="s">
        <v>54</v>
      </c>
      <c r="Q57" s="144" t="s">
        <v>298</v>
      </c>
      <c r="R57" s="144"/>
      <c r="S57" s="131"/>
    </row>
    <row r="58" spans="1:19" ht="18" hidden="1" customHeight="1" x14ac:dyDescent="0.3">
      <c r="A58" s="131">
        <v>57</v>
      </c>
      <c r="B58" s="132" t="s">
        <v>250</v>
      </c>
      <c r="C58" s="133" t="s">
        <v>19</v>
      </c>
      <c r="D58" s="133" t="s">
        <v>47</v>
      </c>
      <c r="E58" s="134" t="s">
        <v>14</v>
      </c>
      <c r="F58" s="135"/>
      <c r="G58" s="136" t="s">
        <v>349</v>
      </c>
      <c r="H58" s="137" t="s">
        <v>350</v>
      </c>
      <c r="I58" s="138"/>
      <c r="J58" s="139"/>
      <c r="K58" s="135"/>
      <c r="L58" s="135"/>
      <c r="M58" s="148" t="s">
        <v>257</v>
      </c>
      <c r="N58" s="141"/>
      <c r="O58" s="142"/>
      <c r="P58" s="143" t="s">
        <v>54</v>
      </c>
      <c r="Q58" s="144" t="s">
        <v>298</v>
      </c>
      <c r="R58" s="144" t="s">
        <v>351</v>
      </c>
      <c r="S58" s="131"/>
    </row>
    <row r="59" spans="1:19" ht="18" hidden="1" customHeight="1" x14ac:dyDescent="0.3">
      <c r="A59" s="131">
        <v>58</v>
      </c>
      <c r="B59" s="132" t="s">
        <v>250</v>
      </c>
      <c r="C59" s="133" t="s">
        <v>19</v>
      </c>
      <c r="D59" s="133" t="s">
        <v>47</v>
      </c>
      <c r="E59" s="134" t="s">
        <v>13</v>
      </c>
      <c r="F59" s="135"/>
      <c r="G59" s="136" t="s">
        <v>352</v>
      </c>
      <c r="H59" s="137" t="s">
        <v>353</v>
      </c>
      <c r="I59" s="138"/>
      <c r="J59" s="139"/>
      <c r="K59" s="135"/>
      <c r="L59" s="135"/>
      <c r="M59" s="140"/>
      <c r="N59" s="141"/>
      <c r="O59" s="142" t="s">
        <v>354</v>
      </c>
      <c r="P59" s="143" t="s">
        <v>291</v>
      </c>
      <c r="Q59" s="144" t="s">
        <v>355</v>
      </c>
      <c r="R59" s="144" t="s">
        <v>356</v>
      </c>
      <c r="S59" s="131"/>
    </row>
    <row r="60" spans="1:19" ht="18" customHeight="1" x14ac:dyDescent="0.3">
      <c r="A60" s="117">
        <v>59</v>
      </c>
      <c r="B60" s="118" t="s">
        <v>5</v>
      </c>
      <c r="C60" s="119" t="s">
        <v>19</v>
      </c>
      <c r="D60" s="119" t="s">
        <v>47</v>
      </c>
      <c r="E60" s="120" t="s">
        <v>13</v>
      </c>
      <c r="F60" s="146" t="s">
        <v>92</v>
      </c>
      <c r="G60" s="122" t="s">
        <v>357</v>
      </c>
      <c r="H60" s="123" t="s">
        <v>358</v>
      </c>
      <c r="I60" s="147" t="s">
        <v>359</v>
      </c>
      <c r="J60" s="125" t="s">
        <v>51</v>
      </c>
      <c r="K60" s="121"/>
      <c r="L60" s="121"/>
      <c r="M60" s="126" t="s">
        <v>40</v>
      </c>
      <c r="N60" s="127" t="s">
        <v>360</v>
      </c>
      <c r="O60" s="128" t="s">
        <v>354</v>
      </c>
      <c r="P60" s="129" t="s">
        <v>361</v>
      </c>
      <c r="Q60" s="130" t="s">
        <v>254</v>
      </c>
      <c r="R60" s="130" t="s">
        <v>362</v>
      </c>
      <c r="S60" s="117"/>
    </row>
    <row r="61" spans="1:19" ht="18" hidden="1" customHeight="1" x14ac:dyDescent="0.3">
      <c r="A61" s="131">
        <v>60</v>
      </c>
      <c r="B61" s="132" t="s">
        <v>250</v>
      </c>
      <c r="C61" s="133" t="s">
        <v>19</v>
      </c>
      <c r="D61" s="133" t="s">
        <v>47</v>
      </c>
      <c r="E61" s="134" t="s">
        <v>13</v>
      </c>
      <c r="F61" s="135"/>
      <c r="G61" s="136" t="s">
        <v>363</v>
      </c>
      <c r="H61" s="137" t="s">
        <v>364</v>
      </c>
      <c r="I61" s="138"/>
      <c r="J61" s="139"/>
      <c r="K61" s="135"/>
      <c r="L61" s="135"/>
      <c r="M61" s="140"/>
      <c r="N61" s="141"/>
      <c r="O61" s="142" t="s">
        <v>354</v>
      </c>
      <c r="P61" s="143" t="s">
        <v>54</v>
      </c>
      <c r="Q61" s="144" t="s">
        <v>254</v>
      </c>
      <c r="R61" s="144" t="s">
        <v>365</v>
      </c>
      <c r="S61" s="131"/>
    </row>
    <row r="62" spans="1:19" ht="18" hidden="1" customHeight="1" x14ac:dyDescent="0.3">
      <c r="A62" s="131">
        <v>61</v>
      </c>
      <c r="B62" s="132" t="s">
        <v>250</v>
      </c>
      <c r="C62" s="133" t="s">
        <v>19</v>
      </c>
      <c r="D62" s="133" t="s">
        <v>47</v>
      </c>
      <c r="E62" s="134" t="s">
        <v>13</v>
      </c>
      <c r="F62" s="135"/>
      <c r="G62" s="136" t="s">
        <v>366</v>
      </c>
      <c r="H62" s="137" t="s">
        <v>367</v>
      </c>
      <c r="I62" s="138"/>
      <c r="J62" s="139"/>
      <c r="K62" s="135"/>
      <c r="L62" s="135"/>
      <c r="M62" s="140"/>
      <c r="N62" s="141"/>
      <c r="O62" s="142" t="s">
        <v>354</v>
      </c>
      <c r="P62" s="143" t="s">
        <v>291</v>
      </c>
      <c r="Q62" s="144" t="s">
        <v>254</v>
      </c>
      <c r="R62" s="144" t="s">
        <v>368</v>
      </c>
      <c r="S62" s="131"/>
    </row>
    <row r="63" spans="1:19" ht="18" hidden="1" customHeight="1" x14ac:dyDescent="0.3">
      <c r="A63" s="131">
        <v>62</v>
      </c>
      <c r="B63" s="132" t="s">
        <v>250</v>
      </c>
      <c r="C63" s="133" t="s">
        <v>19</v>
      </c>
      <c r="D63" s="133" t="s">
        <v>47</v>
      </c>
      <c r="E63" s="134" t="s">
        <v>13</v>
      </c>
      <c r="F63" s="135"/>
      <c r="G63" s="136" t="s">
        <v>369</v>
      </c>
      <c r="H63" s="137" t="s">
        <v>370</v>
      </c>
      <c r="I63" s="138"/>
      <c r="J63" s="139"/>
      <c r="K63" s="135"/>
      <c r="L63" s="135"/>
      <c r="M63" s="140"/>
      <c r="N63" s="141"/>
      <c r="O63" s="142" t="s">
        <v>354</v>
      </c>
      <c r="P63" s="143" t="s">
        <v>54</v>
      </c>
      <c r="Q63" s="144" t="s">
        <v>264</v>
      </c>
      <c r="R63" s="144" t="s">
        <v>371</v>
      </c>
      <c r="S63" s="131"/>
    </row>
    <row r="64" spans="1:19" ht="18" hidden="1" customHeight="1" x14ac:dyDescent="0.3">
      <c r="A64" s="131">
        <v>63</v>
      </c>
      <c r="B64" s="132" t="s">
        <v>250</v>
      </c>
      <c r="C64" s="133" t="s">
        <v>19</v>
      </c>
      <c r="D64" s="133" t="s">
        <v>47</v>
      </c>
      <c r="E64" s="134" t="s">
        <v>14</v>
      </c>
      <c r="F64" s="135"/>
      <c r="G64" s="136" t="s">
        <v>372</v>
      </c>
      <c r="H64" s="137" t="s">
        <v>373</v>
      </c>
      <c r="I64" s="138"/>
      <c r="J64" s="139"/>
      <c r="K64" s="135"/>
      <c r="L64" s="135"/>
      <c r="M64" s="148" t="s">
        <v>257</v>
      </c>
      <c r="N64" s="141"/>
      <c r="O64" s="142"/>
      <c r="P64" s="143" t="s">
        <v>54</v>
      </c>
      <c r="Q64" s="144" t="s">
        <v>292</v>
      </c>
      <c r="R64" s="144" t="s">
        <v>374</v>
      </c>
      <c r="S64" s="131"/>
    </row>
    <row r="65" spans="1:19" ht="18" hidden="1" customHeight="1" x14ac:dyDescent="0.3">
      <c r="A65" s="131">
        <v>64</v>
      </c>
      <c r="B65" s="132" t="s">
        <v>250</v>
      </c>
      <c r="C65" s="133" t="s">
        <v>19</v>
      </c>
      <c r="D65" s="133" t="s">
        <v>47</v>
      </c>
      <c r="E65" s="134" t="s">
        <v>14</v>
      </c>
      <c r="F65" s="135"/>
      <c r="G65" s="136" t="s">
        <v>375</v>
      </c>
      <c r="H65" s="137" t="s">
        <v>376</v>
      </c>
      <c r="I65" s="138"/>
      <c r="J65" s="139"/>
      <c r="K65" s="135"/>
      <c r="L65" s="135"/>
      <c r="M65" s="148" t="s">
        <v>40</v>
      </c>
      <c r="N65" s="141" t="s">
        <v>377</v>
      </c>
      <c r="O65" s="142"/>
      <c r="P65" s="143" t="s">
        <v>54</v>
      </c>
      <c r="Q65" s="144" t="s">
        <v>60</v>
      </c>
      <c r="R65" s="144" t="s">
        <v>378</v>
      </c>
      <c r="S65" s="131"/>
    </row>
    <row r="66" spans="1:19" ht="18" hidden="1" customHeight="1" x14ac:dyDescent="0.3">
      <c r="A66" s="131">
        <v>65</v>
      </c>
      <c r="B66" s="132" t="s">
        <v>250</v>
      </c>
      <c r="C66" s="133" t="s">
        <v>19</v>
      </c>
      <c r="D66" s="133" t="s">
        <v>47</v>
      </c>
      <c r="E66" s="134" t="s">
        <v>13</v>
      </c>
      <c r="F66" s="135"/>
      <c r="G66" s="136" t="s">
        <v>379</v>
      </c>
      <c r="H66" s="137" t="s">
        <v>380</v>
      </c>
      <c r="I66" s="138"/>
      <c r="J66" s="139"/>
      <c r="K66" s="135"/>
      <c r="L66" s="135"/>
      <c r="M66" s="140"/>
      <c r="N66" s="141"/>
      <c r="O66" s="142" t="s">
        <v>354</v>
      </c>
      <c r="P66" s="143" t="s">
        <v>73</v>
      </c>
      <c r="Q66" s="144" t="s">
        <v>381</v>
      </c>
      <c r="R66" s="144" t="s">
        <v>382</v>
      </c>
      <c r="S66" s="131"/>
    </row>
    <row r="67" spans="1:19" ht="18" hidden="1" customHeight="1" x14ac:dyDescent="0.3">
      <c r="A67" s="131">
        <v>66</v>
      </c>
      <c r="B67" s="132" t="s">
        <v>250</v>
      </c>
      <c r="C67" s="133" t="s">
        <v>19</v>
      </c>
      <c r="D67" s="133" t="s">
        <v>47</v>
      </c>
      <c r="E67" s="134" t="s">
        <v>13</v>
      </c>
      <c r="F67" s="135"/>
      <c r="G67" s="136" t="s">
        <v>383</v>
      </c>
      <c r="H67" s="137" t="s">
        <v>384</v>
      </c>
      <c r="I67" s="138"/>
      <c r="J67" s="139"/>
      <c r="K67" s="135"/>
      <c r="L67" s="135"/>
      <c r="M67" s="140"/>
      <c r="N67" s="141"/>
      <c r="O67" s="142" t="s">
        <v>354</v>
      </c>
      <c r="P67" s="143" t="s">
        <v>54</v>
      </c>
      <c r="Q67" s="144" t="s">
        <v>381</v>
      </c>
      <c r="R67" s="144" t="s">
        <v>385</v>
      </c>
      <c r="S67" s="131"/>
    </row>
    <row r="68" spans="1:19" ht="18" hidden="1" customHeight="1" x14ac:dyDescent="0.3">
      <c r="A68" s="131">
        <v>67</v>
      </c>
      <c r="B68" s="132" t="s">
        <v>250</v>
      </c>
      <c r="C68" s="133" t="s">
        <v>19</v>
      </c>
      <c r="D68" s="133" t="s">
        <v>47</v>
      </c>
      <c r="E68" s="134" t="s">
        <v>13</v>
      </c>
      <c r="F68" s="135"/>
      <c r="G68" s="136" t="s">
        <v>386</v>
      </c>
      <c r="H68" s="137" t="s">
        <v>387</v>
      </c>
      <c r="I68" s="138"/>
      <c r="J68" s="139"/>
      <c r="K68" s="135"/>
      <c r="L68" s="135"/>
      <c r="M68" s="140"/>
      <c r="N68" s="141"/>
      <c r="O68" s="142" t="s">
        <v>53</v>
      </c>
      <c r="P68" s="143" t="s">
        <v>54</v>
      </c>
      <c r="Q68" s="144" t="s">
        <v>388</v>
      </c>
      <c r="R68" s="144" t="s">
        <v>389</v>
      </c>
      <c r="S68" s="131"/>
    </row>
    <row r="69" spans="1:19" ht="18" customHeight="1" x14ac:dyDescent="0.3">
      <c r="A69" s="117">
        <v>68</v>
      </c>
      <c r="B69" s="118" t="s">
        <v>5</v>
      </c>
      <c r="C69" s="119" t="s">
        <v>19</v>
      </c>
      <c r="D69" s="119" t="s">
        <v>47</v>
      </c>
      <c r="E69" s="120" t="s">
        <v>13</v>
      </c>
      <c r="F69" s="121"/>
      <c r="G69" s="122" t="s">
        <v>390</v>
      </c>
      <c r="H69" s="123" t="s">
        <v>391</v>
      </c>
      <c r="I69" s="124"/>
      <c r="J69" s="125" t="s">
        <v>51</v>
      </c>
      <c r="K69" s="121"/>
      <c r="L69" s="121"/>
      <c r="M69" s="126" t="s">
        <v>40</v>
      </c>
      <c r="N69" s="127" t="s">
        <v>392</v>
      </c>
      <c r="O69" s="128" t="s">
        <v>354</v>
      </c>
      <c r="P69" s="129" t="s">
        <v>393</v>
      </c>
      <c r="Q69" s="130" t="s">
        <v>254</v>
      </c>
      <c r="R69" s="130" t="s">
        <v>394</v>
      </c>
      <c r="S69" s="117"/>
    </row>
    <row r="70" spans="1:19" ht="18" hidden="1" customHeight="1" x14ac:dyDescent="0.3">
      <c r="A70" s="131">
        <v>69</v>
      </c>
      <c r="B70" s="132" t="s">
        <v>250</v>
      </c>
      <c r="C70" s="133" t="s">
        <v>19</v>
      </c>
      <c r="D70" s="133" t="s">
        <v>47</v>
      </c>
      <c r="E70" s="134" t="s">
        <v>13</v>
      </c>
      <c r="F70" s="135"/>
      <c r="G70" s="136" t="s">
        <v>395</v>
      </c>
      <c r="H70" s="137" t="s">
        <v>396</v>
      </c>
      <c r="I70" s="138"/>
      <c r="J70" s="139"/>
      <c r="K70" s="135"/>
      <c r="L70" s="135"/>
      <c r="M70" s="140"/>
      <c r="N70" s="141"/>
      <c r="O70" s="142" t="s">
        <v>354</v>
      </c>
      <c r="P70" s="143" t="s">
        <v>54</v>
      </c>
      <c r="Q70" s="144" t="s">
        <v>323</v>
      </c>
      <c r="R70" s="144" t="s">
        <v>397</v>
      </c>
      <c r="S70" s="131"/>
    </row>
    <row r="71" spans="1:19" ht="18" hidden="1" customHeight="1" x14ac:dyDescent="0.3">
      <c r="A71" s="131">
        <v>70</v>
      </c>
      <c r="B71" s="132" t="s">
        <v>250</v>
      </c>
      <c r="C71" s="133" t="s">
        <v>19</v>
      </c>
      <c r="D71" s="133" t="s">
        <v>47</v>
      </c>
      <c r="E71" s="134" t="s">
        <v>13</v>
      </c>
      <c r="F71" s="135"/>
      <c r="G71" s="136" t="s">
        <v>398</v>
      </c>
      <c r="H71" s="137" t="s">
        <v>399</v>
      </c>
      <c r="I71" s="138"/>
      <c r="J71" s="139"/>
      <c r="K71" s="135"/>
      <c r="L71" s="135"/>
      <c r="M71" s="140"/>
      <c r="N71" s="141"/>
      <c r="O71" s="142" t="s">
        <v>53</v>
      </c>
      <c r="P71" s="143" t="s">
        <v>54</v>
      </c>
      <c r="Q71" s="144" t="s">
        <v>264</v>
      </c>
      <c r="R71" s="144" t="s">
        <v>400</v>
      </c>
      <c r="S71" s="131"/>
    </row>
    <row r="72" spans="1:19" ht="18" hidden="1" customHeight="1" x14ac:dyDescent="0.3">
      <c r="A72" s="131">
        <v>71</v>
      </c>
      <c r="B72" s="132" t="s">
        <v>250</v>
      </c>
      <c r="C72" s="133" t="s">
        <v>19</v>
      </c>
      <c r="D72" s="133" t="s">
        <v>47</v>
      </c>
      <c r="E72" s="134" t="s">
        <v>13</v>
      </c>
      <c r="F72" s="135"/>
      <c r="G72" s="136" t="s">
        <v>401</v>
      </c>
      <c r="H72" s="137" t="s">
        <v>402</v>
      </c>
      <c r="I72" s="138"/>
      <c r="J72" s="139"/>
      <c r="K72" s="135"/>
      <c r="L72" s="135"/>
      <c r="M72" s="140"/>
      <c r="N72" s="141"/>
      <c r="O72" s="142" t="s">
        <v>53</v>
      </c>
      <c r="P72" s="143" t="s">
        <v>54</v>
      </c>
      <c r="Q72" s="144" t="s">
        <v>264</v>
      </c>
      <c r="R72" s="144" t="s">
        <v>403</v>
      </c>
      <c r="S72" s="131"/>
    </row>
    <row r="73" spans="1:19" ht="18" hidden="1" customHeight="1" x14ac:dyDescent="0.3">
      <c r="A73" s="131">
        <v>72</v>
      </c>
      <c r="B73" s="132" t="s">
        <v>250</v>
      </c>
      <c r="C73" s="133" t="s">
        <v>19</v>
      </c>
      <c r="D73" s="133" t="s">
        <v>47</v>
      </c>
      <c r="E73" s="134" t="s">
        <v>13</v>
      </c>
      <c r="F73" s="135"/>
      <c r="G73" s="136" t="s">
        <v>404</v>
      </c>
      <c r="H73" s="137" t="s">
        <v>405</v>
      </c>
      <c r="I73" s="138"/>
      <c r="J73" s="139"/>
      <c r="K73" s="135"/>
      <c r="L73" s="135"/>
      <c r="M73" s="140"/>
      <c r="N73" s="141"/>
      <c r="O73" s="142" t="s">
        <v>53</v>
      </c>
      <c r="P73" s="143" t="s">
        <v>54</v>
      </c>
      <c r="Q73" s="144" t="s">
        <v>264</v>
      </c>
      <c r="R73" s="144" t="s">
        <v>406</v>
      </c>
      <c r="S73" s="131"/>
    </row>
    <row r="74" spans="1:19" ht="18" hidden="1" customHeight="1" x14ac:dyDescent="0.3">
      <c r="A74" s="131">
        <v>73</v>
      </c>
      <c r="B74" s="132" t="s">
        <v>250</v>
      </c>
      <c r="C74" s="133" t="s">
        <v>19</v>
      </c>
      <c r="D74" s="133" t="s">
        <v>47</v>
      </c>
      <c r="E74" s="134" t="s">
        <v>13</v>
      </c>
      <c r="F74" s="135"/>
      <c r="G74" s="136" t="s">
        <v>407</v>
      </c>
      <c r="H74" s="137" t="s">
        <v>408</v>
      </c>
      <c r="I74" s="138"/>
      <c r="J74" s="139" t="s">
        <v>186</v>
      </c>
      <c r="K74" s="135"/>
      <c r="L74" s="135"/>
      <c r="M74" s="140"/>
      <c r="N74" s="141"/>
      <c r="O74" s="142" t="s">
        <v>53</v>
      </c>
      <c r="P74" s="143" t="s">
        <v>409</v>
      </c>
      <c r="Q74" s="144" t="s">
        <v>254</v>
      </c>
      <c r="R74" s="144" t="s">
        <v>410</v>
      </c>
      <c r="S74" s="131"/>
    </row>
    <row r="75" spans="1:19" ht="18" customHeight="1" x14ac:dyDescent="0.3">
      <c r="A75" s="131">
        <v>74</v>
      </c>
      <c r="B75" s="132" t="s">
        <v>5</v>
      </c>
      <c r="C75" s="133" t="s">
        <v>19</v>
      </c>
      <c r="D75" s="133" t="s">
        <v>47</v>
      </c>
      <c r="E75" s="134" t="s">
        <v>13</v>
      </c>
      <c r="F75" s="150" t="s">
        <v>48</v>
      </c>
      <c r="G75" s="136" t="s">
        <v>411</v>
      </c>
      <c r="H75" s="137" t="s">
        <v>412</v>
      </c>
      <c r="I75" s="145" t="s">
        <v>413</v>
      </c>
      <c r="J75" s="139" t="s">
        <v>51</v>
      </c>
      <c r="K75" s="135"/>
      <c r="L75" s="135"/>
      <c r="M75" s="148" t="s">
        <v>40</v>
      </c>
      <c r="N75" s="141" t="s">
        <v>414</v>
      </c>
      <c r="O75" s="142"/>
      <c r="P75" s="143" t="s">
        <v>54</v>
      </c>
      <c r="Q75" s="144" t="s">
        <v>55</v>
      </c>
      <c r="R75" s="144" t="s">
        <v>415</v>
      </c>
      <c r="S75" s="131"/>
    </row>
    <row r="76" spans="1:19" ht="18" hidden="1" customHeight="1" x14ac:dyDescent="0.3">
      <c r="A76" s="131">
        <v>75</v>
      </c>
      <c r="B76" s="132" t="s">
        <v>250</v>
      </c>
      <c r="C76" s="133" t="s">
        <v>19</v>
      </c>
      <c r="D76" s="133" t="s">
        <v>47</v>
      </c>
      <c r="E76" s="134" t="s">
        <v>14</v>
      </c>
      <c r="F76" s="135"/>
      <c r="G76" s="136" t="s">
        <v>416</v>
      </c>
      <c r="H76" s="137" t="s">
        <v>417</v>
      </c>
      <c r="I76" s="138"/>
      <c r="J76" s="139" t="s">
        <v>51</v>
      </c>
      <c r="K76" s="135"/>
      <c r="L76" s="135"/>
      <c r="M76" s="148" t="s">
        <v>40</v>
      </c>
      <c r="N76" s="141" t="s">
        <v>418</v>
      </c>
      <c r="O76" s="142"/>
      <c r="P76" s="143" t="s">
        <v>54</v>
      </c>
      <c r="Q76" s="144" t="s">
        <v>292</v>
      </c>
      <c r="R76" s="144" t="s">
        <v>419</v>
      </c>
      <c r="S76" s="131"/>
    </row>
    <row r="77" spans="1:19" ht="18" hidden="1" customHeight="1" x14ac:dyDescent="0.3">
      <c r="A77" s="131">
        <v>76</v>
      </c>
      <c r="B77" s="132" t="s">
        <v>250</v>
      </c>
      <c r="C77" s="133" t="s">
        <v>19</v>
      </c>
      <c r="D77" s="133" t="s">
        <v>47</v>
      </c>
      <c r="E77" s="134" t="s">
        <v>14</v>
      </c>
      <c r="F77" s="135"/>
      <c r="G77" s="136" t="s">
        <v>420</v>
      </c>
      <c r="H77" s="137" t="s">
        <v>421</v>
      </c>
      <c r="I77" s="138"/>
      <c r="J77" s="139"/>
      <c r="K77" s="135"/>
      <c r="L77" s="135"/>
      <c r="M77" s="148" t="s">
        <v>257</v>
      </c>
      <c r="N77" s="141"/>
      <c r="O77" s="142"/>
      <c r="P77" s="143" t="s">
        <v>393</v>
      </c>
      <c r="Q77" s="144" t="s">
        <v>422</v>
      </c>
      <c r="R77" s="144" t="s">
        <v>423</v>
      </c>
      <c r="S77" s="131"/>
    </row>
    <row r="78" spans="1:19" ht="18" hidden="1" customHeight="1" x14ac:dyDescent="0.3">
      <c r="A78" s="131">
        <v>77</v>
      </c>
      <c r="B78" s="132" t="s">
        <v>250</v>
      </c>
      <c r="C78" s="133" t="s">
        <v>19</v>
      </c>
      <c r="D78" s="133" t="s">
        <v>47</v>
      </c>
      <c r="E78" s="134" t="s">
        <v>14</v>
      </c>
      <c r="F78" s="135"/>
      <c r="G78" s="136" t="s">
        <v>424</v>
      </c>
      <c r="H78" s="137" t="s">
        <v>425</v>
      </c>
      <c r="I78" s="138"/>
      <c r="J78" s="139"/>
      <c r="K78" s="135"/>
      <c r="L78" s="135"/>
      <c r="M78" s="148" t="s">
        <v>257</v>
      </c>
      <c r="N78" s="141"/>
      <c r="O78" s="142"/>
      <c r="P78" s="143" t="s">
        <v>426</v>
      </c>
      <c r="Q78" s="144" t="s">
        <v>422</v>
      </c>
      <c r="R78" s="144" t="s">
        <v>427</v>
      </c>
      <c r="S78" s="131"/>
    </row>
    <row r="79" spans="1:19" ht="18" hidden="1" customHeight="1" x14ac:dyDescent="0.3">
      <c r="A79" s="131">
        <v>78</v>
      </c>
      <c r="B79" s="132" t="s">
        <v>250</v>
      </c>
      <c r="C79" s="133" t="s">
        <v>19</v>
      </c>
      <c r="D79" s="133" t="s">
        <v>47</v>
      </c>
      <c r="E79" s="134" t="s">
        <v>14</v>
      </c>
      <c r="F79" s="135"/>
      <c r="G79" s="136" t="s">
        <v>428</v>
      </c>
      <c r="H79" s="137" t="s">
        <v>429</v>
      </c>
      <c r="I79" s="138"/>
      <c r="J79" s="139" t="s">
        <v>186</v>
      </c>
      <c r="K79" s="135"/>
      <c r="L79" s="135"/>
      <c r="M79" s="148" t="s">
        <v>257</v>
      </c>
      <c r="N79" s="141"/>
      <c r="O79" s="142"/>
      <c r="P79" s="143" t="s">
        <v>430</v>
      </c>
      <c r="Q79" s="144" t="s">
        <v>345</v>
      </c>
      <c r="R79" s="144" t="s">
        <v>431</v>
      </c>
      <c r="S79" s="131"/>
    </row>
    <row r="80" spans="1:19" ht="18" hidden="1" customHeight="1" x14ac:dyDescent="0.3">
      <c r="A80" s="131">
        <v>79</v>
      </c>
      <c r="B80" s="132" t="s">
        <v>250</v>
      </c>
      <c r="C80" s="133" t="s">
        <v>19</v>
      </c>
      <c r="D80" s="133" t="s">
        <v>47</v>
      </c>
      <c r="E80" s="134" t="s">
        <v>14</v>
      </c>
      <c r="F80" s="135"/>
      <c r="G80" s="136" t="s">
        <v>432</v>
      </c>
      <c r="H80" s="137" t="s">
        <v>433</v>
      </c>
      <c r="I80" s="138"/>
      <c r="J80" s="139"/>
      <c r="K80" s="135"/>
      <c r="L80" s="135"/>
      <c r="M80" s="148" t="s">
        <v>257</v>
      </c>
      <c r="N80" s="141"/>
      <c r="O80" s="142"/>
      <c r="P80" s="143" t="s">
        <v>54</v>
      </c>
      <c r="Q80" s="144" t="s">
        <v>292</v>
      </c>
      <c r="R80" s="144" t="s">
        <v>434</v>
      </c>
      <c r="S80" s="131"/>
    </row>
    <row r="81" spans="1:19" ht="18" hidden="1" customHeight="1" x14ac:dyDescent="0.3">
      <c r="A81" s="131">
        <v>80</v>
      </c>
      <c r="B81" s="132" t="s">
        <v>250</v>
      </c>
      <c r="C81" s="133" t="s">
        <v>19</v>
      </c>
      <c r="D81" s="133" t="s">
        <v>47</v>
      </c>
      <c r="E81" s="134" t="s">
        <v>14</v>
      </c>
      <c r="F81" s="135"/>
      <c r="G81" s="136" t="s">
        <v>435</v>
      </c>
      <c r="H81" s="137" t="s">
        <v>436</v>
      </c>
      <c r="I81" s="138"/>
      <c r="J81" s="139"/>
      <c r="K81" s="135"/>
      <c r="L81" s="135"/>
      <c r="M81" s="148" t="s">
        <v>257</v>
      </c>
      <c r="N81" s="141"/>
      <c r="O81" s="142"/>
      <c r="P81" s="143" t="s">
        <v>437</v>
      </c>
      <c r="Q81" s="144" t="s">
        <v>438</v>
      </c>
      <c r="R81" s="144" t="s">
        <v>439</v>
      </c>
      <c r="S81" s="131"/>
    </row>
    <row r="82" spans="1:19" ht="18" hidden="1" customHeight="1" x14ac:dyDescent="0.3">
      <c r="A82" s="131">
        <v>81</v>
      </c>
      <c r="B82" s="132" t="s">
        <v>250</v>
      </c>
      <c r="C82" s="133" t="s">
        <v>19</v>
      </c>
      <c r="D82" s="133" t="s">
        <v>47</v>
      </c>
      <c r="E82" s="134" t="s">
        <v>14</v>
      </c>
      <c r="F82" s="135"/>
      <c r="G82" s="136" t="s">
        <v>440</v>
      </c>
      <c r="H82" s="137" t="s">
        <v>441</v>
      </c>
      <c r="I82" s="138"/>
      <c r="J82" s="139"/>
      <c r="K82" s="135"/>
      <c r="L82" s="135"/>
      <c r="M82" s="148" t="s">
        <v>257</v>
      </c>
      <c r="N82" s="141"/>
      <c r="O82" s="142"/>
      <c r="P82" s="143" t="s">
        <v>442</v>
      </c>
      <c r="Q82" s="144" t="s">
        <v>438</v>
      </c>
      <c r="R82" s="144" t="s">
        <v>443</v>
      </c>
      <c r="S82" s="131"/>
    </row>
    <row r="83" spans="1:19" ht="18" hidden="1" customHeight="1" x14ac:dyDescent="0.3">
      <c r="A83" s="131">
        <v>82</v>
      </c>
      <c r="B83" s="132" t="s">
        <v>250</v>
      </c>
      <c r="C83" s="133" t="s">
        <v>19</v>
      </c>
      <c r="D83" s="133" t="s">
        <v>47</v>
      </c>
      <c r="E83" s="134" t="s">
        <v>14</v>
      </c>
      <c r="F83" s="135"/>
      <c r="G83" s="136" t="s">
        <v>444</v>
      </c>
      <c r="H83" s="137" t="s">
        <v>445</v>
      </c>
      <c r="I83" s="138"/>
      <c r="J83" s="139"/>
      <c r="K83" s="135"/>
      <c r="L83" s="135"/>
      <c r="M83" s="148" t="s">
        <v>257</v>
      </c>
      <c r="N83" s="141"/>
      <c r="O83" s="142"/>
      <c r="P83" s="143" t="s">
        <v>446</v>
      </c>
      <c r="Q83" s="144" t="s">
        <v>438</v>
      </c>
      <c r="R83" s="144" t="s">
        <v>447</v>
      </c>
      <c r="S83" s="131"/>
    </row>
    <row r="84" spans="1:19" ht="18" hidden="1" customHeight="1" x14ac:dyDescent="0.3">
      <c r="A84" s="131">
        <v>83</v>
      </c>
      <c r="B84" s="132" t="s">
        <v>250</v>
      </c>
      <c r="C84" s="133" t="s">
        <v>19</v>
      </c>
      <c r="D84" s="133" t="s">
        <v>47</v>
      </c>
      <c r="E84" s="134" t="s">
        <v>14</v>
      </c>
      <c r="F84" s="135"/>
      <c r="G84" s="136" t="s">
        <v>448</v>
      </c>
      <c r="H84" s="137" t="s">
        <v>449</v>
      </c>
      <c r="I84" s="138"/>
      <c r="J84" s="139"/>
      <c r="K84" s="135"/>
      <c r="L84" s="135"/>
      <c r="M84" s="148" t="s">
        <v>257</v>
      </c>
      <c r="N84" s="141"/>
      <c r="O84" s="142"/>
      <c r="P84" s="143" t="s">
        <v>450</v>
      </c>
      <c r="Q84" s="144" t="s">
        <v>438</v>
      </c>
      <c r="R84" s="144" t="s">
        <v>451</v>
      </c>
      <c r="S84" s="131"/>
    </row>
    <row r="85" spans="1:19" ht="18" hidden="1" customHeight="1" x14ac:dyDescent="0.3">
      <c r="A85" s="131">
        <v>84</v>
      </c>
      <c r="B85" s="132" t="s">
        <v>250</v>
      </c>
      <c r="C85" s="133" t="s">
        <v>19</v>
      </c>
      <c r="D85" s="133" t="s">
        <v>47</v>
      </c>
      <c r="E85" s="134" t="s">
        <v>14</v>
      </c>
      <c r="F85" s="135"/>
      <c r="G85" s="136" t="s">
        <v>452</v>
      </c>
      <c r="H85" s="137" t="s">
        <v>453</v>
      </c>
      <c r="I85" s="138"/>
      <c r="J85" s="139"/>
      <c r="K85" s="135"/>
      <c r="L85" s="135"/>
      <c r="M85" s="148" t="s">
        <v>257</v>
      </c>
      <c r="N85" s="141"/>
      <c r="O85" s="142"/>
      <c r="P85" s="143" t="s">
        <v>54</v>
      </c>
      <c r="Q85" s="144" t="s">
        <v>438</v>
      </c>
      <c r="R85" s="144" t="s">
        <v>454</v>
      </c>
      <c r="S85" s="131"/>
    </row>
    <row r="86" spans="1:19" ht="18" hidden="1" customHeight="1" x14ac:dyDescent="0.3">
      <c r="A86" s="131">
        <v>85</v>
      </c>
      <c r="B86" s="132" t="s">
        <v>250</v>
      </c>
      <c r="C86" s="133" t="s">
        <v>19</v>
      </c>
      <c r="D86" s="133" t="s">
        <v>47</v>
      </c>
      <c r="E86" s="134" t="s">
        <v>14</v>
      </c>
      <c r="F86" s="135"/>
      <c r="G86" s="136" t="s">
        <v>455</v>
      </c>
      <c r="H86" s="137" t="s">
        <v>456</v>
      </c>
      <c r="I86" s="138"/>
      <c r="J86" s="139"/>
      <c r="K86" s="135"/>
      <c r="L86" s="135"/>
      <c r="M86" s="148" t="s">
        <v>257</v>
      </c>
      <c r="N86" s="141"/>
      <c r="O86" s="142"/>
      <c r="P86" s="143" t="s">
        <v>457</v>
      </c>
      <c r="Q86" s="144" t="s">
        <v>438</v>
      </c>
      <c r="R86" s="144" t="s">
        <v>458</v>
      </c>
      <c r="S86" s="131"/>
    </row>
    <row r="87" spans="1:19" ht="18" hidden="1" customHeight="1" x14ac:dyDescent="0.3">
      <c r="A87" s="131">
        <v>86</v>
      </c>
      <c r="B87" s="132" t="s">
        <v>250</v>
      </c>
      <c r="C87" s="133" t="s">
        <v>19</v>
      </c>
      <c r="D87" s="133" t="s">
        <v>47</v>
      </c>
      <c r="E87" s="134" t="s">
        <v>14</v>
      </c>
      <c r="F87" s="135"/>
      <c r="G87" s="136" t="s">
        <v>459</v>
      </c>
      <c r="H87" s="137" t="s">
        <v>460</v>
      </c>
      <c r="I87" s="138"/>
      <c r="J87" s="139"/>
      <c r="K87" s="135"/>
      <c r="L87" s="135"/>
      <c r="M87" s="148" t="s">
        <v>257</v>
      </c>
      <c r="N87" s="141"/>
      <c r="O87" s="142"/>
      <c r="P87" s="143" t="s">
        <v>461</v>
      </c>
      <c r="Q87" s="144" t="s">
        <v>298</v>
      </c>
      <c r="R87" s="144" t="s">
        <v>462</v>
      </c>
      <c r="S87" s="131"/>
    </row>
    <row r="88" spans="1:19" ht="18" hidden="1" customHeight="1" x14ac:dyDescent="0.3">
      <c r="A88" s="131">
        <v>87</v>
      </c>
      <c r="B88" s="132" t="s">
        <v>250</v>
      </c>
      <c r="C88" s="133" t="s">
        <v>19</v>
      </c>
      <c r="D88" s="133" t="s">
        <v>47</v>
      </c>
      <c r="E88" s="134" t="s">
        <v>14</v>
      </c>
      <c r="F88" s="135"/>
      <c r="G88" s="136" t="s">
        <v>463</v>
      </c>
      <c r="H88" s="137" t="s">
        <v>464</v>
      </c>
      <c r="I88" s="138"/>
      <c r="J88" s="139"/>
      <c r="K88" s="135"/>
      <c r="L88" s="135"/>
      <c r="M88" s="148" t="s">
        <v>257</v>
      </c>
      <c r="N88" s="141"/>
      <c r="O88" s="142"/>
      <c r="P88" s="143" t="s">
        <v>54</v>
      </c>
      <c r="Q88" s="144" t="s">
        <v>345</v>
      </c>
      <c r="R88" s="144" t="s">
        <v>465</v>
      </c>
      <c r="S88" s="131"/>
    </row>
    <row r="89" spans="1:19" ht="18" hidden="1" customHeight="1" x14ac:dyDescent="0.3">
      <c r="A89" s="131">
        <v>88</v>
      </c>
      <c r="B89" s="132" t="s">
        <v>250</v>
      </c>
      <c r="C89" s="133" t="s">
        <v>19</v>
      </c>
      <c r="D89" s="133" t="s">
        <v>47</v>
      </c>
      <c r="E89" s="134" t="s">
        <v>14</v>
      </c>
      <c r="F89" s="135"/>
      <c r="G89" s="136" t="s">
        <v>466</v>
      </c>
      <c r="H89" s="137" t="s">
        <v>467</v>
      </c>
      <c r="I89" s="138"/>
      <c r="J89" s="139"/>
      <c r="K89" s="135"/>
      <c r="L89" s="135"/>
      <c r="M89" s="148" t="s">
        <v>257</v>
      </c>
      <c r="N89" s="141"/>
      <c r="O89" s="142"/>
      <c r="P89" s="143" t="s">
        <v>446</v>
      </c>
      <c r="Q89" s="144" t="s">
        <v>298</v>
      </c>
      <c r="R89" s="144" t="s">
        <v>468</v>
      </c>
      <c r="S89" s="131"/>
    </row>
    <row r="90" spans="1:19" ht="18" hidden="1" customHeight="1" x14ac:dyDescent="0.3">
      <c r="A90" s="131">
        <v>89</v>
      </c>
      <c r="B90" s="132" t="s">
        <v>250</v>
      </c>
      <c r="C90" s="133" t="s">
        <v>19</v>
      </c>
      <c r="D90" s="133" t="s">
        <v>47</v>
      </c>
      <c r="E90" s="134" t="s">
        <v>14</v>
      </c>
      <c r="F90" s="135"/>
      <c r="G90" s="136" t="s">
        <v>469</v>
      </c>
      <c r="H90" s="137" t="s">
        <v>470</v>
      </c>
      <c r="I90" s="138"/>
      <c r="J90" s="139" t="s">
        <v>186</v>
      </c>
      <c r="K90" s="135"/>
      <c r="L90" s="135"/>
      <c r="M90" s="148" t="s">
        <v>257</v>
      </c>
      <c r="N90" s="141"/>
      <c r="O90" s="142"/>
      <c r="P90" s="143" t="s">
        <v>291</v>
      </c>
      <c r="Q90" s="144" t="s">
        <v>298</v>
      </c>
      <c r="R90" s="144" t="s">
        <v>471</v>
      </c>
      <c r="S90" s="131"/>
    </row>
    <row r="91" spans="1:19" ht="18" hidden="1" customHeight="1" x14ac:dyDescent="0.3">
      <c r="A91" s="131">
        <v>90</v>
      </c>
      <c r="B91" s="132" t="s">
        <v>250</v>
      </c>
      <c r="C91" s="133" t="s">
        <v>19</v>
      </c>
      <c r="D91" s="133" t="s">
        <v>47</v>
      </c>
      <c r="E91" s="134" t="s">
        <v>14</v>
      </c>
      <c r="F91" s="135"/>
      <c r="G91" s="136" t="s">
        <v>472</v>
      </c>
      <c r="H91" s="137" t="s">
        <v>473</v>
      </c>
      <c r="I91" s="138"/>
      <c r="J91" s="139"/>
      <c r="K91" s="135"/>
      <c r="L91" s="135"/>
      <c r="M91" s="148" t="s">
        <v>257</v>
      </c>
      <c r="N91" s="141"/>
      <c r="O91" s="142"/>
      <c r="P91" s="143" t="s">
        <v>474</v>
      </c>
      <c r="Q91" s="144" t="s">
        <v>298</v>
      </c>
      <c r="R91" s="144" t="s">
        <v>475</v>
      </c>
      <c r="S91" s="131"/>
    </row>
    <row r="92" spans="1:19" ht="18" hidden="1" customHeight="1" x14ac:dyDescent="0.3">
      <c r="A92" s="131">
        <v>91</v>
      </c>
      <c r="B92" s="132" t="s">
        <v>250</v>
      </c>
      <c r="C92" s="133" t="s">
        <v>19</v>
      </c>
      <c r="D92" s="133" t="s">
        <v>47</v>
      </c>
      <c r="E92" s="134" t="s">
        <v>14</v>
      </c>
      <c r="F92" s="135"/>
      <c r="G92" s="136" t="s">
        <v>476</v>
      </c>
      <c r="H92" s="137" t="s">
        <v>477</v>
      </c>
      <c r="I92" s="138"/>
      <c r="J92" s="139"/>
      <c r="K92" s="135"/>
      <c r="L92" s="135"/>
      <c r="M92" s="148" t="s">
        <v>257</v>
      </c>
      <c r="N92" s="141"/>
      <c r="O92" s="142"/>
      <c r="P92" s="143" t="s">
        <v>478</v>
      </c>
      <c r="Q92" s="144" t="s">
        <v>298</v>
      </c>
      <c r="R92" s="144" t="s">
        <v>479</v>
      </c>
      <c r="S92" s="131"/>
    </row>
    <row r="93" spans="1:19" ht="18" hidden="1" customHeight="1" x14ac:dyDescent="0.3">
      <c r="A93" s="131">
        <v>92</v>
      </c>
      <c r="B93" s="132" t="s">
        <v>250</v>
      </c>
      <c r="C93" s="133" t="s">
        <v>19</v>
      </c>
      <c r="D93" s="133" t="s">
        <v>47</v>
      </c>
      <c r="E93" s="134" t="s">
        <v>14</v>
      </c>
      <c r="F93" s="135"/>
      <c r="G93" s="136" t="s">
        <v>480</v>
      </c>
      <c r="H93" s="137" t="s">
        <v>481</v>
      </c>
      <c r="I93" s="138"/>
      <c r="J93" s="139" t="s">
        <v>186</v>
      </c>
      <c r="K93" s="135"/>
      <c r="L93" s="135"/>
      <c r="M93" s="148" t="s">
        <v>257</v>
      </c>
      <c r="N93" s="141"/>
      <c r="O93" s="142"/>
      <c r="P93" s="143" t="s">
        <v>340</v>
      </c>
      <c r="Q93" s="144" t="s">
        <v>298</v>
      </c>
      <c r="R93" s="144" t="s">
        <v>482</v>
      </c>
      <c r="S93" s="131"/>
    </row>
    <row r="94" spans="1:19" ht="18" hidden="1" customHeight="1" x14ac:dyDescent="0.3">
      <c r="A94" s="131">
        <v>93</v>
      </c>
      <c r="B94" s="132" t="s">
        <v>250</v>
      </c>
      <c r="C94" s="133" t="s">
        <v>19</v>
      </c>
      <c r="D94" s="133" t="s">
        <v>47</v>
      </c>
      <c r="E94" s="134" t="s">
        <v>14</v>
      </c>
      <c r="F94" s="135"/>
      <c r="G94" s="136" t="s">
        <v>483</v>
      </c>
      <c r="H94" s="137" t="s">
        <v>484</v>
      </c>
      <c r="I94" s="138"/>
      <c r="J94" s="139"/>
      <c r="K94" s="135"/>
      <c r="L94" s="135"/>
      <c r="M94" s="148" t="s">
        <v>257</v>
      </c>
      <c r="N94" s="141"/>
      <c r="O94" s="142"/>
      <c r="P94" s="143" t="s">
        <v>54</v>
      </c>
      <c r="Q94" s="144" t="s">
        <v>298</v>
      </c>
      <c r="R94" s="144" t="s">
        <v>485</v>
      </c>
      <c r="S94" s="131"/>
    </row>
    <row r="95" spans="1:19" ht="18" hidden="1" customHeight="1" x14ac:dyDescent="0.3">
      <c r="A95" s="131">
        <v>94</v>
      </c>
      <c r="B95" s="132" t="s">
        <v>250</v>
      </c>
      <c r="C95" s="133" t="s">
        <v>19</v>
      </c>
      <c r="D95" s="133" t="s">
        <v>47</v>
      </c>
      <c r="E95" s="134" t="s">
        <v>14</v>
      </c>
      <c r="F95" s="135"/>
      <c r="G95" s="136" t="s">
        <v>486</v>
      </c>
      <c r="H95" s="137" t="s">
        <v>487</v>
      </c>
      <c r="I95" s="138"/>
      <c r="J95" s="139"/>
      <c r="K95" s="135"/>
      <c r="L95" s="135"/>
      <c r="M95" s="148" t="s">
        <v>257</v>
      </c>
      <c r="N95" s="141"/>
      <c r="O95" s="142"/>
      <c r="P95" s="143" t="s">
        <v>54</v>
      </c>
      <c r="Q95" s="144" t="s">
        <v>298</v>
      </c>
      <c r="R95" s="144" t="s">
        <v>488</v>
      </c>
      <c r="S95" s="131"/>
    </row>
    <row r="96" spans="1:19" ht="18" hidden="1" customHeight="1" x14ac:dyDescent="0.3">
      <c r="A96" s="131">
        <v>95</v>
      </c>
      <c r="B96" s="132" t="s">
        <v>250</v>
      </c>
      <c r="C96" s="133" t="s">
        <v>19</v>
      </c>
      <c r="D96" s="133" t="s">
        <v>47</v>
      </c>
      <c r="E96" s="134" t="s">
        <v>14</v>
      </c>
      <c r="F96" s="135"/>
      <c r="G96" s="136" t="s">
        <v>489</v>
      </c>
      <c r="H96" s="137" t="s">
        <v>490</v>
      </c>
      <c r="I96" s="138"/>
      <c r="J96" s="139"/>
      <c r="K96" s="135"/>
      <c r="L96" s="135"/>
      <c r="M96" s="148" t="s">
        <v>257</v>
      </c>
      <c r="N96" s="141"/>
      <c r="O96" s="142"/>
      <c r="P96" s="143" t="s">
        <v>491</v>
      </c>
      <c r="Q96" s="144" t="s">
        <v>298</v>
      </c>
      <c r="R96" s="144" t="s">
        <v>492</v>
      </c>
      <c r="S96" s="131"/>
    </row>
    <row r="97" spans="1:19" ht="18" hidden="1" customHeight="1" x14ac:dyDescent="0.3">
      <c r="A97" s="131">
        <v>96</v>
      </c>
      <c r="B97" s="132" t="s">
        <v>250</v>
      </c>
      <c r="C97" s="133" t="s">
        <v>19</v>
      </c>
      <c r="D97" s="133" t="s">
        <v>47</v>
      </c>
      <c r="E97" s="134" t="s">
        <v>14</v>
      </c>
      <c r="F97" s="135"/>
      <c r="G97" s="136" t="s">
        <v>493</v>
      </c>
      <c r="H97" s="137" t="s">
        <v>494</v>
      </c>
      <c r="I97" s="138"/>
      <c r="J97" s="139"/>
      <c r="K97" s="135"/>
      <c r="L97" s="135"/>
      <c r="M97" s="148" t="s">
        <v>257</v>
      </c>
      <c r="N97" s="141"/>
      <c r="O97" s="142"/>
      <c r="P97" s="143" t="s">
        <v>495</v>
      </c>
      <c r="Q97" s="144" t="s">
        <v>298</v>
      </c>
      <c r="R97" s="144" t="s">
        <v>496</v>
      </c>
      <c r="S97" s="131"/>
    </row>
    <row r="98" spans="1:19" ht="18" hidden="1" customHeight="1" x14ac:dyDescent="0.3">
      <c r="A98" s="131">
        <v>97</v>
      </c>
      <c r="B98" s="132" t="s">
        <v>250</v>
      </c>
      <c r="C98" s="133" t="s">
        <v>19</v>
      </c>
      <c r="D98" s="133" t="s">
        <v>47</v>
      </c>
      <c r="E98" s="134" t="s">
        <v>14</v>
      </c>
      <c r="F98" s="135"/>
      <c r="G98" s="136" t="s">
        <v>497</v>
      </c>
      <c r="H98" s="137" t="s">
        <v>498</v>
      </c>
      <c r="I98" s="138"/>
      <c r="J98" s="139"/>
      <c r="K98" s="135"/>
      <c r="L98" s="135"/>
      <c r="M98" s="148" t="s">
        <v>257</v>
      </c>
      <c r="N98" s="141"/>
      <c r="O98" s="142"/>
      <c r="P98" s="143" t="s">
        <v>167</v>
      </c>
      <c r="Q98" s="144" t="s">
        <v>298</v>
      </c>
      <c r="R98" s="144"/>
      <c r="S98" s="131"/>
    </row>
    <row r="99" spans="1:19" ht="18" hidden="1" customHeight="1" x14ac:dyDescent="0.3">
      <c r="A99" s="131">
        <v>98</v>
      </c>
      <c r="B99" s="132" t="s">
        <v>250</v>
      </c>
      <c r="C99" s="133" t="s">
        <v>19</v>
      </c>
      <c r="D99" s="133" t="s">
        <v>47</v>
      </c>
      <c r="E99" s="134" t="s">
        <v>14</v>
      </c>
      <c r="F99" s="135"/>
      <c r="G99" s="136" t="s">
        <v>499</v>
      </c>
      <c r="H99" s="137" t="s">
        <v>500</v>
      </c>
      <c r="I99" s="138"/>
      <c r="J99" s="139"/>
      <c r="K99" s="135"/>
      <c r="L99" s="135"/>
      <c r="M99" s="148" t="s">
        <v>257</v>
      </c>
      <c r="N99" s="141"/>
      <c r="O99" s="142"/>
      <c r="P99" s="143" t="s">
        <v>501</v>
      </c>
      <c r="Q99" s="144" t="s">
        <v>298</v>
      </c>
      <c r="R99" s="144" t="s">
        <v>502</v>
      </c>
      <c r="S99" s="131"/>
    </row>
    <row r="100" spans="1:19" ht="18" hidden="1" customHeight="1" x14ac:dyDescent="0.3">
      <c r="A100" s="131">
        <v>99</v>
      </c>
      <c r="B100" s="132" t="s">
        <v>250</v>
      </c>
      <c r="C100" s="133" t="s">
        <v>19</v>
      </c>
      <c r="D100" s="133" t="s">
        <v>47</v>
      </c>
      <c r="E100" s="134" t="s">
        <v>14</v>
      </c>
      <c r="F100" s="135"/>
      <c r="G100" s="136" t="s">
        <v>503</v>
      </c>
      <c r="H100" s="137" t="s">
        <v>504</v>
      </c>
      <c r="I100" s="138"/>
      <c r="J100" s="139"/>
      <c r="K100" s="135"/>
      <c r="L100" s="135"/>
      <c r="M100" s="148" t="s">
        <v>257</v>
      </c>
      <c r="N100" s="141"/>
      <c r="O100" s="142"/>
      <c r="P100" s="143" t="s">
        <v>505</v>
      </c>
      <c r="Q100" s="144" t="s">
        <v>298</v>
      </c>
      <c r="R100" s="144" t="s">
        <v>506</v>
      </c>
      <c r="S100" s="131"/>
    </row>
    <row r="101" spans="1:19" ht="18" hidden="1" customHeight="1" x14ac:dyDescent="0.3">
      <c r="A101" s="131">
        <v>100</v>
      </c>
      <c r="B101" s="132" t="s">
        <v>250</v>
      </c>
      <c r="C101" s="133" t="s">
        <v>19</v>
      </c>
      <c r="D101" s="133" t="s">
        <v>47</v>
      </c>
      <c r="E101" s="134" t="s">
        <v>14</v>
      </c>
      <c r="F101" s="135"/>
      <c r="G101" s="136" t="s">
        <v>507</v>
      </c>
      <c r="H101" s="137" t="s">
        <v>508</v>
      </c>
      <c r="I101" s="138"/>
      <c r="J101" s="139"/>
      <c r="K101" s="135"/>
      <c r="L101" s="135"/>
      <c r="M101" s="148" t="s">
        <v>257</v>
      </c>
      <c r="N101" s="141"/>
      <c r="O101" s="142"/>
      <c r="P101" s="143" t="s">
        <v>495</v>
      </c>
      <c r="Q101" s="144" t="s">
        <v>298</v>
      </c>
      <c r="R101" s="144" t="s">
        <v>509</v>
      </c>
      <c r="S101" s="131"/>
    </row>
    <row r="102" spans="1:19" ht="18" hidden="1" customHeight="1" x14ac:dyDescent="0.3">
      <c r="A102" s="131">
        <v>101</v>
      </c>
      <c r="B102" s="132" t="s">
        <v>250</v>
      </c>
      <c r="C102" s="133" t="s">
        <v>19</v>
      </c>
      <c r="D102" s="133" t="s">
        <v>47</v>
      </c>
      <c r="E102" s="134" t="s">
        <v>14</v>
      </c>
      <c r="F102" s="135"/>
      <c r="G102" s="136" t="s">
        <v>510</v>
      </c>
      <c r="H102" s="137" t="s">
        <v>511</v>
      </c>
      <c r="I102" s="138"/>
      <c r="J102" s="139"/>
      <c r="K102" s="135"/>
      <c r="L102" s="135"/>
      <c r="M102" s="148" t="s">
        <v>257</v>
      </c>
      <c r="N102" s="141"/>
      <c r="O102" s="142"/>
      <c r="P102" s="143" t="s">
        <v>512</v>
      </c>
      <c r="Q102" s="144" t="s">
        <v>298</v>
      </c>
      <c r="R102" s="144"/>
      <c r="S102" s="131"/>
    </row>
    <row r="103" spans="1:19" ht="18" hidden="1" customHeight="1" x14ac:dyDescent="0.3">
      <c r="A103" s="131">
        <v>102</v>
      </c>
      <c r="B103" s="132" t="s">
        <v>250</v>
      </c>
      <c r="C103" s="133" t="s">
        <v>19</v>
      </c>
      <c r="D103" s="133" t="s">
        <v>47</v>
      </c>
      <c r="E103" s="134" t="s">
        <v>14</v>
      </c>
      <c r="F103" s="135"/>
      <c r="G103" s="136" t="s">
        <v>513</v>
      </c>
      <c r="H103" s="137" t="s">
        <v>514</v>
      </c>
      <c r="I103" s="138"/>
      <c r="J103" s="139"/>
      <c r="K103" s="135"/>
      <c r="L103" s="135"/>
      <c r="M103" s="148" t="s">
        <v>257</v>
      </c>
      <c r="N103" s="141"/>
      <c r="O103" s="142"/>
      <c r="P103" s="143" t="s">
        <v>340</v>
      </c>
      <c r="Q103" s="144" t="s">
        <v>298</v>
      </c>
      <c r="R103" s="144" t="s">
        <v>515</v>
      </c>
      <c r="S103" s="131"/>
    </row>
    <row r="104" spans="1:19" ht="18" hidden="1" customHeight="1" x14ac:dyDescent="0.3">
      <c r="A104" s="131">
        <v>103</v>
      </c>
      <c r="B104" s="132" t="s">
        <v>250</v>
      </c>
      <c r="C104" s="133" t="s">
        <v>19</v>
      </c>
      <c r="D104" s="133" t="s">
        <v>47</v>
      </c>
      <c r="E104" s="134" t="s">
        <v>14</v>
      </c>
      <c r="F104" s="135"/>
      <c r="G104" s="136" t="s">
        <v>516</v>
      </c>
      <c r="H104" s="137" t="s">
        <v>517</v>
      </c>
      <c r="I104" s="138"/>
      <c r="J104" s="139"/>
      <c r="K104" s="135"/>
      <c r="L104" s="135"/>
      <c r="M104" s="148" t="s">
        <v>257</v>
      </c>
      <c r="N104" s="141"/>
      <c r="O104" s="142"/>
      <c r="P104" s="143" t="s">
        <v>518</v>
      </c>
      <c r="Q104" s="144" t="s">
        <v>298</v>
      </c>
      <c r="R104" s="144" t="s">
        <v>519</v>
      </c>
      <c r="S104" s="131"/>
    </row>
    <row r="105" spans="1:19" ht="18" hidden="1" customHeight="1" x14ac:dyDescent="0.3">
      <c r="A105" s="131">
        <v>104</v>
      </c>
      <c r="B105" s="132" t="s">
        <v>250</v>
      </c>
      <c r="C105" s="133" t="s">
        <v>19</v>
      </c>
      <c r="D105" s="133" t="s">
        <v>47</v>
      </c>
      <c r="E105" s="134" t="s">
        <v>14</v>
      </c>
      <c r="F105" s="135"/>
      <c r="G105" s="136" t="s">
        <v>520</v>
      </c>
      <c r="H105" s="137" t="s">
        <v>521</v>
      </c>
      <c r="I105" s="138"/>
      <c r="J105" s="139"/>
      <c r="K105" s="135"/>
      <c r="L105" s="135"/>
      <c r="M105" s="148" t="s">
        <v>257</v>
      </c>
      <c r="N105" s="141"/>
      <c r="O105" s="142"/>
      <c r="P105" s="143" t="s">
        <v>291</v>
      </c>
      <c r="Q105" s="144" t="s">
        <v>298</v>
      </c>
      <c r="R105" s="144" t="s">
        <v>522</v>
      </c>
      <c r="S105" s="131"/>
    </row>
    <row r="106" spans="1:19" ht="18" hidden="1" customHeight="1" x14ac:dyDescent="0.3">
      <c r="A106" s="131">
        <v>105</v>
      </c>
      <c r="B106" s="132" t="s">
        <v>250</v>
      </c>
      <c r="C106" s="133" t="s">
        <v>19</v>
      </c>
      <c r="D106" s="133" t="s">
        <v>47</v>
      </c>
      <c r="E106" s="134" t="s">
        <v>14</v>
      </c>
      <c r="F106" s="135"/>
      <c r="G106" s="136" t="s">
        <v>523</v>
      </c>
      <c r="H106" s="137" t="s">
        <v>524</v>
      </c>
      <c r="I106" s="138"/>
      <c r="J106" s="139"/>
      <c r="K106" s="135"/>
      <c r="L106" s="135"/>
      <c r="M106" s="148" t="s">
        <v>257</v>
      </c>
      <c r="N106" s="141"/>
      <c r="O106" s="142"/>
      <c r="P106" s="143" t="s">
        <v>525</v>
      </c>
      <c r="Q106" s="144" t="s">
        <v>298</v>
      </c>
      <c r="R106" s="144" t="s">
        <v>526</v>
      </c>
      <c r="S106" s="131"/>
    </row>
    <row r="107" spans="1:19" ht="18" hidden="1" customHeight="1" x14ac:dyDescent="0.3">
      <c r="A107" s="131">
        <v>106</v>
      </c>
      <c r="B107" s="132" t="s">
        <v>250</v>
      </c>
      <c r="C107" s="133" t="s">
        <v>19</v>
      </c>
      <c r="D107" s="133" t="s">
        <v>47</v>
      </c>
      <c r="E107" s="134" t="s">
        <v>14</v>
      </c>
      <c r="F107" s="135"/>
      <c r="G107" s="136" t="s">
        <v>527</v>
      </c>
      <c r="H107" s="137" t="s">
        <v>528</v>
      </c>
      <c r="I107" s="138"/>
      <c r="J107" s="139"/>
      <c r="K107" s="135"/>
      <c r="L107" s="135"/>
      <c r="M107" s="148" t="s">
        <v>257</v>
      </c>
      <c r="N107" s="141"/>
      <c r="O107" s="142"/>
      <c r="P107" s="143" t="s">
        <v>54</v>
      </c>
      <c r="Q107" s="144" t="s">
        <v>298</v>
      </c>
      <c r="R107" s="144" t="s">
        <v>529</v>
      </c>
      <c r="S107" s="131"/>
    </row>
    <row r="108" spans="1:19" ht="18" hidden="1" customHeight="1" x14ac:dyDescent="0.3">
      <c r="A108" s="131">
        <v>107</v>
      </c>
      <c r="B108" s="132" t="s">
        <v>250</v>
      </c>
      <c r="C108" s="133" t="s">
        <v>19</v>
      </c>
      <c r="D108" s="133" t="s">
        <v>47</v>
      </c>
      <c r="E108" s="134" t="s">
        <v>14</v>
      </c>
      <c r="F108" s="135"/>
      <c r="G108" s="136" t="s">
        <v>530</v>
      </c>
      <c r="H108" s="137" t="s">
        <v>531</v>
      </c>
      <c r="I108" s="138"/>
      <c r="J108" s="139"/>
      <c r="K108" s="135"/>
      <c r="L108" s="135"/>
      <c r="M108" s="148" t="s">
        <v>257</v>
      </c>
      <c r="N108" s="141"/>
      <c r="O108" s="142"/>
      <c r="P108" s="143" t="s">
        <v>532</v>
      </c>
      <c r="Q108" s="144" t="s">
        <v>298</v>
      </c>
      <c r="R108" s="144"/>
      <c r="S108" s="131"/>
    </row>
    <row r="109" spans="1:19" ht="18" hidden="1" customHeight="1" x14ac:dyDescent="0.3">
      <c r="A109" s="131">
        <v>108</v>
      </c>
      <c r="B109" s="132" t="s">
        <v>250</v>
      </c>
      <c r="C109" s="133" t="s">
        <v>19</v>
      </c>
      <c r="D109" s="133" t="s">
        <v>47</v>
      </c>
      <c r="E109" s="134" t="s">
        <v>14</v>
      </c>
      <c r="F109" s="135"/>
      <c r="G109" s="136" t="s">
        <v>533</v>
      </c>
      <c r="H109" s="137" t="s">
        <v>534</v>
      </c>
      <c r="I109" s="138"/>
      <c r="J109" s="139"/>
      <c r="K109" s="135"/>
      <c r="L109" s="135"/>
      <c r="M109" s="148" t="s">
        <v>257</v>
      </c>
      <c r="N109" s="141"/>
      <c r="O109" s="142"/>
      <c r="P109" s="143" t="s">
        <v>54</v>
      </c>
      <c r="Q109" s="144" t="s">
        <v>298</v>
      </c>
      <c r="R109" s="144" t="s">
        <v>535</v>
      </c>
      <c r="S109" s="131"/>
    </row>
    <row r="110" spans="1:19" ht="18" hidden="1" customHeight="1" x14ac:dyDescent="0.3">
      <c r="A110" s="131">
        <v>109</v>
      </c>
      <c r="B110" s="132" t="s">
        <v>250</v>
      </c>
      <c r="C110" s="133" t="s">
        <v>19</v>
      </c>
      <c r="D110" s="133" t="s">
        <v>47</v>
      </c>
      <c r="E110" s="134" t="s">
        <v>14</v>
      </c>
      <c r="F110" s="135"/>
      <c r="G110" s="136" t="s">
        <v>536</v>
      </c>
      <c r="H110" s="137" t="s">
        <v>537</v>
      </c>
      <c r="I110" s="138"/>
      <c r="J110" s="139"/>
      <c r="K110" s="135"/>
      <c r="L110" s="135"/>
      <c r="M110" s="148" t="s">
        <v>257</v>
      </c>
      <c r="N110" s="141"/>
      <c r="O110" s="142"/>
      <c r="P110" s="143" t="s">
        <v>538</v>
      </c>
      <c r="Q110" s="144" t="s">
        <v>345</v>
      </c>
      <c r="R110" s="144" t="s">
        <v>539</v>
      </c>
      <c r="S110" s="131"/>
    </row>
    <row r="111" spans="1:19" ht="18" hidden="1" customHeight="1" x14ac:dyDescent="0.3">
      <c r="A111" s="131">
        <v>110</v>
      </c>
      <c r="B111" s="132" t="s">
        <v>250</v>
      </c>
      <c r="C111" s="133" t="s">
        <v>19</v>
      </c>
      <c r="D111" s="133" t="s">
        <v>47</v>
      </c>
      <c r="E111" s="134" t="s">
        <v>14</v>
      </c>
      <c r="F111" s="135"/>
      <c r="G111" s="136" t="s">
        <v>540</v>
      </c>
      <c r="H111" s="137" t="s">
        <v>541</v>
      </c>
      <c r="I111" s="138"/>
      <c r="J111" s="139"/>
      <c r="K111" s="135"/>
      <c r="L111" s="135"/>
      <c r="M111" s="148" t="s">
        <v>257</v>
      </c>
      <c r="N111" s="141"/>
      <c r="O111" s="142"/>
      <c r="P111" s="143" t="s">
        <v>542</v>
      </c>
      <c r="Q111" s="144" t="s">
        <v>298</v>
      </c>
      <c r="R111" s="144" t="s">
        <v>543</v>
      </c>
      <c r="S111" s="131"/>
    </row>
    <row r="112" spans="1:19" ht="18" hidden="1" customHeight="1" x14ac:dyDescent="0.3">
      <c r="A112" s="131">
        <v>111</v>
      </c>
      <c r="B112" s="132" t="s">
        <v>250</v>
      </c>
      <c r="C112" s="133" t="s">
        <v>19</v>
      </c>
      <c r="D112" s="133" t="s">
        <v>47</v>
      </c>
      <c r="E112" s="134" t="s">
        <v>14</v>
      </c>
      <c r="F112" s="135"/>
      <c r="G112" s="136" t="s">
        <v>544</v>
      </c>
      <c r="H112" s="137" t="s">
        <v>545</v>
      </c>
      <c r="I112" s="138"/>
      <c r="J112" s="139"/>
      <c r="K112" s="135"/>
      <c r="L112" s="135"/>
      <c r="M112" s="148" t="s">
        <v>257</v>
      </c>
      <c r="N112" s="141"/>
      <c r="O112" s="142"/>
      <c r="P112" s="143" t="s">
        <v>546</v>
      </c>
      <c r="Q112" s="144" t="s">
        <v>298</v>
      </c>
      <c r="R112" s="144" t="s">
        <v>547</v>
      </c>
      <c r="S112" s="131"/>
    </row>
    <row r="113" spans="1:19" ht="18" hidden="1" customHeight="1" x14ac:dyDescent="0.3">
      <c r="A113" s="131">
        <v>112</v>
      </c>
      <c r="B113" s="132" t="s">
        <v>250</v>
      </c>
      <c r="C113" s="133" t="s">
        <v>19</v>
      </c>
      <c r="D113" s="133" t="s">
        <v>47</v>
      </c>
      <c r="E113" s="134" t="s">
        <v>14</v>
      </c>
      <c r="F113" s="135"/>
      <c r="G113" s="136" t="s">
        <v>548</v>
      </c>
      <c r="H113" s="137" t="s">
        <v>549</v>
      </c>
      <c r="I113" s="138"/>
      <c r="J113" s="139"/>
      <c r="K113" s="135"/>
      <c r="L113" s="135"/>
      <c r="M113" s="148" t="s">
        <v>257</v>
      </c>
      <c r="N113" s="141"/>
      <c r="O113" s="142"/>
      <c r="P113" s="143" t="s">
        <v>393</v>
      </c>
      <c r="Q113" s="144" t="s">
        <v>298</v>
      </c>
      <c r="R113" s="144"/>
      <c r="S113" s="131"/>
    </row>
    <row r="114" spans="1:19" ht="18" hidden="1" customHeight="1" x14ac:dyDescent="0.3">
      <c r="A114" s="131">
        <v>113</v>
      </c>
      <c r="B114" s="132" t="s">
        <v>250</v>
      </c>
      <c r="C114" s="133" t="s">
        <v>19</v>
      </c>
      <c r="D114" s="133" t="s">
        <v>47</v>
      </c>
      <c r="E114" s="134" t="s">
        <v>14</v>
      </c>
      <c r="F114" s="135"/>
      <c r="G114" s="136" t="s">
        <v>550</v>
      </c>
      <c r="H114" s="137" t="s">
        <v>551</v>
      </c>
      <c r="I114" s="138"/>
      <c r="J114" s="139"/>
      <c r="K114" s="135"/>
      <c r="L114" s="135"/>
      <c r="M114" s="148" t="s">
        <v>257</v>
      </c>
      <c r="N114" s="141"/>
      <c r="O114" s="142"/>
      <c r="P114" s="143" t="s">
        <v>291</v>
      </c>
      <c r="Q114" s="144" t="s">
        <v>298</v>
      </c>
      <c r="R114" s="144" t="s">
        <v>552</v>
      </c>
      <c r="S114" s="131"/>
    </row>
    <row r="115" spans="1:19" ht="18" hidden="1" customHeight="1" x14ac:dyDescent="0.3">
      <c r="A115" s="131">
        <v>114</v>
      </c>
      <c r="B115" s="132" t="s">
        <v>250</v>
      </c>
      <c r="C115" s="133" t="s">
        <v>19</v>
      </c>
      <c r="D115" s="133" t="s">
        <v>47</v>
      </c>
      <c r="E115" s="134" t="s">
        <v>14</v>
      </c>
      <c r="F115" s="135"/>
      <c r="G115" s="136" t="s">
        <v>553</v>
      </c>
      <c r="H115" s="137" t="s">
        <v>554</v>
      </c>
      <c r="I115" s="138"/>
      <c r="J115" s="139"/>
      <c r="K115" s="135"/>
      <c r="L115" s="135"/>
      <c r="M115" s="148" t="s">
        <v>257</v>
      </c>
      <c r="N115" s="141"/>
      <c r="O115" s="142"/>
      <c r="P115" s="143" t="s">
        <v>555</v>
      </c>
      <c r="Q115" s="144" t="s">
        <v>298</v>
      </c>
      <c r="R115" s="144" t="s">
        <v>556</v>
      </c>
      <c r="S115" s="131"/>
    </row>
    <row r="116" spans="1:19" ht="18" hidden="1" customHeight="1" x14ac:dyDescent="0.3">
      <c r="A116" s="131">
        <v>115</v>
      </c>
      <c r="B116" s="132" t="s">
        <v>250</v>
      </c>
      <c r="C116" s="133" t="s">
        <v>19</v>
      </c>
      <c r="D116" s="133" t="s">
        <v>47</v>
      </c>
      <c r="E116" s="134" t="s">
        <v>14</v>
      </c>
      <c r="F116" s="135"/>
      <c r="G116" s="136" t="s">
        <v>557</v>
      </c>
      <c r="H116" s="137" t="s">
        <v>558</v>
      </c>
      <c r="I116" s="138"/>
      <c r="J116" s="139"/>
      <c r="K116" s="135"/>
      <c r="L116" s="135"/>
      <c r="M116" s="148" t="s">
        <v>257</v>
      </c>
      <c r="N116" s="141"/>
      <c r="O116" s="142"/>
      <c r="P116" s="143" t="s">
        <v>340</v>
      </c>
      <c r="Q116" s="144" t="s">
        <v>298</v>
      </c>
      <c r="R116" s="144" t="s">
        <v>559</v>
      </c>
      <c r="S116" s="131"/>
    </row>
    <row r="117" spans="1:19" ht="18" hidden="1" customHeight="1" x14ac:dyDescent="0.3">
      <c r="A117" s="131">
        <v>116</v>
      </c>
      <c r="B117" s="132" t="s">
        <v>250</v>
      </c>
      <c r="C117" s="133" t="s">
        <v>19</v>
      </c>
      <c r="D117" s="133" t="s">
        <v>47</v>
      </c>
      <c r="E117" s="134" t="s">
        <v>14</v>
      </c>
      <c r="F117" s="135"/>
      <c r="G117" s="136" t="s">
        <v>560</v>
      </c>
      <c r="H117" s="137" t="s">
        <v>561</v>
      </c>
      <c r="I117" s="138"/>
      <c r="J117" s="139"/>
      <c r="K117" s="135"/>
      <c r="L117" s="135"/>
      <c r="M117" s="148" t="s">
        <v>257</v>
      </c>
      <c r="N117" s="141"/>
      <c r="O117" s="142"/>
      <c r="P117" s="143" t="s">
        <v>333</v>
      </c>
      <c r="Q117" s="144" t="s">
        <v>298</v>
      </c>
      <c r="R117" s="144" t="s">
        <v>562</v>
      </c>
      <c r="S117" s="131"/>
    </row>
    <row r="118" spans="1:19" ht="18" customHeight="1" x14ac:dyDescent="0.3">
      <c r="A118" s="131">
        <v>117</v>
      </c>
      <c r="B118" s="132" t="s">
        <v>5</v>
      </c>
      <c r="C118" s="133" t="s">
        <v>19</v>
      </c>
      <c r="D118" s="133" t="s">
        <v>47</v>
      </c>
      <c r="E118" s="134" t="s">
        <v>13</v>
      </c>
      <c r="F118" s="135"/>
      <c r="G118" s="136" t="s">
        <v>563</v>
      </c>
      <c r="H118" s="137" t="s">
        <v>564</v>
      </c>
      <c r="I118" s="145" t="s">
        <v>565</v>
      </c>
      <c r="J118" s="139" t="s">
        <v>51</v>
      </c>
      <c r="K118" s="135"/>
      <c r="L118" s="135"/>
      <c r="M118" s="148" t="s">
        <v>40</v>
      </c>
      <c r="N118" s="141" t="s">
        <v>566</v>
      </c>
      <c r="O118" s="142" t="s">
        <v>53</v>
      </c>
      <c r="P118" s="143" t="s">
        <v>333</v>
      </c>
      <c r="Q118" s="144" t="s">
        <v>152</v>
      </c>
      <c r="R118" s="144" t="s">
        <v>567</v>
      </c>
      <c r="S118" s="131"/>
    </row>
    <row r="119" spans="1:19" ht="18" hidden="1" customHeight="1" x14ac:dyDescent="0.3">
      <c r="A119" s="131">
        <v>118</v>
      </c>
      <c r="B119" s="132" t="s">
        <v>250</v>
      </c>
      <c r="C119" s="133" t="s">
        <v>19</v>
      </c>
      <c r="D119" s="133" t="s">
        <v>47</v>
      </c>
      <c r="E119" s="134" t="s">
        <v>13</v>
      </c>
      <c r="F119" s="135"/>
      <c r="G119" s="136" t="s">
        <v>568</v>
      </c>
      <c r="H119" s="137" t="s">
        <v>569</v>
      </c>
      <c r="I119" s="138"/>
      <c r="J119" s="139"/>
      <c r="K119" s="135"/>
      <c r="L119" s="135"/>
      <c r="M119" s="140"/>
      <c r="N119" s="141"/>
      <c r="O119" s="142" t="s">
        <v>53</v>
      </c>
      <c r="P119" s="143" t="s">
        <v>54</v>
      </c>
      <c r="Q119" s="144" t="s">
        <v>355</v>
      </c>
      <c r="R119" s="144" t="s">
        <v>570</v>
      </c>
      <c r="S119" s="131"/>
    </row>
    <row r="120" spans="1:19" ht="18" hidden="1" customHeight="1" x14ac:dyDescent="0.3">
      <c r="A120" s="131">
        <v>119</v>
      </c>
      <c r="B120" s="132" t="s">
        <v>250</v>
      </c>
      <c r="C120" s="133" t="s">
        <v>19</v>
      </c>
      <c r="D120" s="133" t="s">
        <v>47</v>
      </c>
      <c r="E120" s="134" t="s">
        <v>13</v>
      </c>
      <c r="F120" s="135"/>
      <c r="G120" s="136" t="s">
        <v>571</v>
      </c>
      <c r="H120" s="137" t="s">
        <v>572</v>
      </c>
      <c r="I120" s="138"/>
      <c r="J120" s="139"/>
      <c r="K120" s="135"/>
      <c r="L120" s="135"/>
      <c r="M120" s="140"/>
      <c r="N120" s="141"/>
      <c r="O120" s="142" t="s">
        <v>53</v>
      </c>
      <c r="P120" s="143" t="s">
        <v>54</v>
      </c>
      <c r="Q120" s="144" t="s">
        <v>381</v>
      </c>
      <c r="R120" s="144" t="s">
        <v>573</v>
      </c>
      <c r="S120" s="131"/>
    </row>
    <row r="121" spans="1:19" ht="18" hidden="1" customHeight="1" x14ac:dyDescent="0.3">
      <c r="A121" s="131">
        <v>120</v>
      </c>
      <c r="B121" s="132" t="s">
        <v>250</v>
      </c>
      <c r="C121" s="133" t="s">
        <v>19</v>
      </c>
      <c r="D121" s="133" t="s">
        <v>47</v>
      </c>
      <c r="E121" s="134" t="s">
        <v>13</v>
      </c>
      <c r="F121" s="135"/>
      <c r="G121" s="136" t="s">
        <v>574</v>
      </c>
      <c r="H121" s="137" t="s">
        <v>575</v>
      </c>
      <c r="I121" s="138"/>
      <c r="J121" s="139"/>
      <c r="K121" s="135"/>
      <c r="L121" s="135"/>
      <c r="M121" s="140"/>
      <c r="N121" s="141"/>
      <c r="O121" s="142" t="s">
        <v>53</v>
      </c>
      <c r="P121" s="143" t="s">
        <v>54</v>
      </c>
      <c r="Q121" s="144" t="s">
        <v>381</v>
      </c>
      <c r="R121" s="144" t="s">
        <v>576</v>
      </c>
      <c r="S121" s="131"/>
    </row>
    <row r="122" spans="1:19" ht="18" customHeight="1" x14ac:dyDescent="0.3">
      <c r="A122" s="117">
        <v>121</v>
      </c>
      <c r="B122" s="118" t="s">
        <v>5</v>
      </c>
      <c r="C122" s="119" t="s">
        <v>19</v>
      </c>
      <c r="D122" s="119" t="s">
        <v>47</v>
      </c>
      <c r="E122" s="120" t="s">
        <v>13</v>
      </c>
      <c r="F122" s="121"/>
      <c r="G122" s="122" t="s">
        <v>577</v>
      </c>
      <c r="H122" s="123" t="s">
        <v>578</v>
      </c>
      <c r="I122" s="147" t="s">
        <v>579</v>
      </c>
      <c r="J122" s="125" t="s">
        <v>51</v>
      </c>
      <c r="K122" s="121"/>
      <c r="L122" s="121"/>
      <c r="M122" s="126" t="s">
        <v>40</v>
      </c>
      <c r="N122" s="127" t="s">
        <v>580</v>
      </c>
      <c r="O122" s="128" t="s">
        <v>53</v>
      </c>
      <c r="P122" s="129" t="s">
        <v>291</v>
      </c>
      <c r="Q122" s="130" t="s">
        <v>254</v>
      </c>
      <c r="R122" s="130" t="s">
        <v>581</v>
      </c>
      <c r="S122" s="117"/>
    </row>
    <row r="123" spans="1:19" ht="18" hidden="1" customHeight="1" x14ac:dyDescent="0.3">
      <c r="A123" s="131">
        <v>122</v>
      </c>
      <c r="B123" s="132" t="s">
        <v>250</v>
      </c>
      <c r="C123" s="133" t="s">
        <v>19</v>
      </c>
      <c r="D123" s="133" t="s">
        <v>47</v>
      </c>
      <c r="E123" s="134" t="s">
        <v>13</v>
      </c>
      <c r="F123" s="135"/>
      <c r="G123" s="136" t="s">
        <v>582</v>
      </c>
      <c r="H123" s="137" t="s">
        <v>583</v>
      </c>
      <c r="I123" s="138"/>
      <c r="J123" s="139"/>
      <c r="K123" s="135"/>
      <c r="L123" s="135"/>
      <c r="M123" s="140"/>
      <c r="N123" s="141"/>
      <c r="O123" s="142" t="s">
        <v>53</v>
      </c>
      <c r="P123" s="143" t="s">
        <v>54</v>
      </c>
      <c r="Q123" s="144" t="s">
        <v>258</v>
      </c>
      <c r="R123" s="144" t="s">
        <v>584</v>
      </c>
      <c r="S123" s="131"/>
    </row>
    <row r="124" spans="1:19" ht="18" hidden="1" customHeight="1" x14ac:dyDescent="0.3">
      <c r="A124" s="131">
        <v>123</v>
      </c>
      <c r="B124" s="132" t="s">
        <v>250</v>
      </c>
      <c r="C124" s="133" t="s">
        <v>19</v>
      </c>
      <c r="D124" s="133" t="s">
        <v>47</v>
      </c>
      <c r="E124" s="134" t="s">
        <v>13</v>
      </c>
      <c r="F124" s="135"/>
      <c r="G124" s="136" t="s">
        <v>585</v>
      </c>
      <c r="H124" s="137" t="s">
        <v>586</v>
      </c>
      <c r="I124" s="138"/>
      <c r="J124" s="139" t="s">
        <v>186</v>
      </c>
      <c r="K124" s="135"/>
      <c r="L124" s="135"/>
      <c r="M124" s="140"/>
      <c r="N124" s="141"/>
      <c r="O124" s="142" t="s">
        <v>53</v>
      </c>
      <c r="P124" s="143" t="s">
        <v>54</v>
      </c>
      <c r="Q124" s="144" t="s">
        <v>264</v>
      </c>
      <c r="R124" s="144" t="s">
        <v>587</v>
      </c>
      <c r="S124" s="131"/>
    </row>
    <row r="125" spans="1:19" ht="18" customHeight="1" x14ac:dyDescent="0.3">
      <c r="A125" s="131">
        <v>124</v>
      </c>
      <c r="B125" s="132" t="s">
        <v>250</v>
      </c>
      <c r="C125" s="133" t="s">
        <v>19</v>
      </c>
      <c r="D125" s="133" t="s">
        <v>47</v>
      </c>
      <c r="E125" s="134" t="s">
        <v>13</v>
      </c>
      <c r="F125" s="135"/>
      <c r="G125" s="136" t="s">
        <v>588</v>
      </c>
      <c r="H125" s="137" t="s">
        <v>589</v>
      </c>
      <c r="I125" s="145" t="s">
        <v>590</v>
      </c>
      <c r="J125" s="139"/>
      <c r="K125" s="135"/>
      <c r="L125" s="135"/>
      <c r="M125" s="148" t="s">
        <v>40</v>
      </c>
      <c r="N125" s="141" t="s">
        <v>591</v>
      </c>
      <c r="O125" s="142" t="s">
        <v>290</v>
      </c>
      <c r="P125" s="143" t="s">
        <v>54</v>
      </c>
      <c r="Q125" s="144" t="s">
        <v>254</v>
      </c>
      <c r="R125" s="144" t="s">
        <v>592</v>
      </c>
      <c r="S125" s="131"/>
    </row>
    <row r="126" spans="1:19" ht="18" customHeight="1" x14ac:dyDescent="0.3">
      <c r="A126" s="117">
        <v>125</v>
      </c>
      <c r="B126" s="118" t="s">
        <v>250</v>
      </c>
      <c r="C126" s="119" t="s">
        <v>19</v>
      </c>
      <c r="D126" s="119" t="s">
        <v>47</v>
      </c>
      <c r="E126" s="120" t="s">
        <v>13</v>
      </c>
      <c r="F126" s="146" t="s">
        <v>92</v>
      </c>
      <c r="G126" s="122" t="s">
        <v>593</v>
      </c>
      <c r="H126" s="123" t="s">
        <v>594</v>
      </c>
      <c r="I126" s="147" t="s">
        <v>595</v>
      </c>
      <c r="J126" s="125" t="s">
        <v>51</v>
      </c>
      <c r="K126" s="121"/>
      <c r="L126" s="121"/>
      <c r="M126" s="126" t="s">
        <v>40</v>
      </c>
      <c r="N126" s="127" t="s">
        <v>596</v>
      </c>
      <c r="O126" s="128" t="s">
        <v>354</v>
      </c>
      <c r="P126" s="129" t="s">
        <v>73</v>
      </c>
      <c r="Q126" s="130" t="s">
        <v>597</v>
      </c>
      <c r="R126" s="130" t="s">
        <v>598</v>
      </c>
      <c r="S126" s="117"/>
    </row>
    <row r="127" spans="1:19" ht="18" customHeight="1" x14ac:dyDescent="0.3">
      <c r="A127" s="117">
        <v>126</v>
      </c>
      <c r="B127" s="118" t="s">
        <v>250</v>
      </c>
      <c r="C127" s="119" t="s">
        <v>19</v>
      </c>
      <c r="D127" s="119" t="s">
        <v>47</v>
      </c>
      <c r="E127" s="120" t="s">
        <v>13</v>
      </c>
      <c r="F127" s="146" t="s">
        <v>48</v>
      </c>
      <c r="G127" s="122" t="s">
        <v>599</v>
      </c>
      <c r="H127" s="123" t="s">
        <v>145</v>
      </c>
      <c r="I127" s="124"/>
      <c r="J127" s="125" t="s">
        <v>51</v>
      </c>
      <c r="K127" s="121"/>
      <c r="L127" s="121"/>
      <c r="M127" s="126" t="s">
        <v>40</v>
      </c>
      <c r="N127" s="127" t="s">
        <v>600</v>
      </c>
      <c r="O127" s="128" t="s">
        <v>354</v>
      </c>
      <c r="P127" s="129" t="s">
        <v>54</v>
      </c>
      <c r="Q127" s="130" t="s">
        <v>254</v>
      </c>
      <c r="R127" s="130" t="s">
        <v>601</v>
      </c>
      <c r="S127" s="117"/>
    </row>
    <row r="128" spans="1:19" ht="18" customHeight="1" x14ac:dyDescent="0.3">
      <c r="A128" s="117">
        <v>127</v>
      </c>
      <c r="B128" s="118" t="s">
        <v>250</v>
      </c>
      <c r="C128" s="119" t="s">
        <v>19</v>
      </c>
      <c r="D128" s="119" t="s">
        <v>47</v>
      </c>
      <c r="E128" s="120" t="s">
        <v>13</v>
      </c>
      <c r="F128" s="121"/>
      <c r="G128" s="122" t="s">
        <v>602</v>
      </c>
      <c r="H128" s="123" t="s">
        <v>603</v>
      </c>
      <c r="I128" s="147" t="s">
        <v>604</v>
      </c>
      <c r="J128" s="125" t="s">
        <v>51</v>
      </c>
      <c r="K128" s="121"/>
      <c r="L128" s="121"/>
      <c r="M128" s="126" t="s">
        <v>40</v>
      </c>
      <c r="N128" s="127" t="s">
        <v>605</v>
      </c>
      <c r="O128" s="128" t="s">
        <v>290</v>
      </c>
      <c r="P128" s="129" t="s">
        <v>54</v>
      </c>
      <c r="Q128" s="130" t="s">
        <v>264</v>
      </c>
      <c r="R128" s="130" t="s">
        <v>606</v>
      </c>
      <c r="S128" s="117"/>
    </row>
    <row r="129" spans="1:19" ht="18" customHeight="1" x14ac:dyDescent="0.3">
      <c r="A129" s="131">
        <v>128</v>
      </c>
      <c r="B129" s="132" t="s">
        <v>5</v>
      </c>
      <c r="C129" s="133" t="s">
        <v>19</v>
      </c>
      <c r="D129" s="133" t="s">
        <v>47</v>
      </c>
      <c r="E129" s="134" t="s">
        <v>13</v>
      </c>
      <c r="F129" s="135"/>
      <c r="G129" s="136" t="s">
        <v>607</v>
      </c>
      <c r="H129" s="137" t="s">
        <v>608</v>
      </c>
      <c r="I129" s="138"/>
      <c r="J129" s="139" t="s">
        <v>51</v>
      </c>
      <c r="K129" s="135"/>
      <c r="L129" s="135"/>
      <c r="M129" s="140" t="s">
        <v>257</v>
      </c>
      <c r="N129" s="141"/>
      <c r="O129" s="142" t="s">
        <v>354</v>
      </c>
      <c r="P129" s="143" t="s">
        <v>54</v>
      </c>
      <c r="Q129" s="144" t="s">
        <v>264</v>
      </c>
      <c r="R129" s="144" t="s">
        <v>609</v>
      </c>
      <c r="S129" s="131"/>
    </row>
    <row r="130" spans="1:19" ht="18" customHeight="1" x14ac:dyDescent="0.3">
      <c r="A130" s="131">
        <v>129</v>
      </c>
      <c r="B130" s="132" t="s">
        <v>250</v>
      </c>
      <c r="C130" s="133" t="s">
        <v>19</v>
      </c>
      <c r="D130" s="133" t="s">
        <v>47</v>
      </c>
      <c r="E130" s="134" t="s">
        <v>13</v>
      </c>
      <c r="F130" s="135"/>
      <c r="G130" s="136" t="s">
        <v>610</v>
      </c>
      <c r="H130" s="137" t="s">
        <v>611</v>
      </c>
      <c r="I130" s="138"/>
      <c r="J130" s="139" t="s">
        <v>186</v>
      </c>
      <c r="K130" s="135"/>
      <c r="L130" s="135"/>
      <c r="M130" s="140" t="s">
        <v>257</v>
      </c>
      <c r="N130" s="141"/>
      <c r="O130" s="142" t="s">
        <v>354</v>
      </c>
      <c r="P130" s="143" t="s">
        <v>54</v>
      </c>
      <c r="Q130" s="144" t="s">
        <v>388</v>
      </c>
      <c r="R130" s="144" t="s">
        <v>612</v>
      </c>
      <c r="S130" s="131"/>
    </row>
    <row r="131" spans="1:19" ht="18" customHeight="1" x14ac:dyDescent="0.3">
      <c r="A131" s="131">
        <v>130</v>
      </c>
      <c r="B131" s="132" t="s">
        <v>250</v>
      </c>
      <c r="C131" s="133" t="s">
        <v>19</v>
      </c>
      <c r="D131" s="133" t="s">
        <v>47</v>
      </c>
      <c r="E131" s="134" t="s">
        <v>13</v>
      </c>
      <c r="F131" s="135"/>
      <c r="G131" s="136" t="s">
        <v>613</v>
      </c>
      <c r="H131" s="137" t="s">
        <v>614</v>
      </c>
      <c r="I131" s="138"/>
      <c r="J131" s="139"/>
      <c r="K131" s="135"/>
      <c r="L131" s="135"/>
      <c r="M131" s="140" t="s">
        <v>257</v>
      </c>
      <c r="N131" s="141"/>
      <c r="O131" s="142" t="s">
        <v>354</v>
      </c>
      <c r="P131" s="143" t="s">
        <v>54</v>
      </c>
      <c r="Q131" s="144" t="s">
        <v>258</v>
      </c>
      <c r="R131" s="144" t="s">
        <v>615</v>
      </c>
      <c r="S131" s="131"/>
    </row>
    <row r="132" spans="1:19" ht="18" customHeight="1" x14ac:dyDescent="0.3">
      <c r="A132" s="131">
        <v>131</v>
      </c>
      <c r="B132" s="132" t="s">
        <v>250</v>
      </c>
      <c r="C132" s="133" t="s">
        <v>19</v>
      </c>
      <c r="D132" s="133" t="s">
        <v>47</v>
      </c>
      <c r="E132" s="134" t="s">
        <v>13</v>
      </c>
      <c r="F132" s="135"/>
      <c r="G132" s="136" t="s">
        <v>616</v>
      </c>
      <c r="H132" s="137" t="s">
        <v>170</v>
      </c>
      <c r="I132" s="145" t="s">
        <v>617</v>
      </c>
      <c r="J132" s="139" t="s">
        <v>186</v>
      </c>
      <c r="K132" s="135"/>
      <c r="L132" s="135"/>
      <c r="M132" s="140" t="s">
        <v>257</v>
      </c>
      <c r="N132" s="141"/>
      <c r="O132" s="142" t="s">
        <v>290</v>
      </c>
      <c r="P132" s="143" t="s">
        <v>54</v>
      </c>
      <c r="Q132" s="144" t="s">
        <v>258</v>
      </c>
      <c r="R132" s="144" t="s">
        <v>618</v>
      </c>
      <c r="S132" s="131"/>
    </row>
    <row r="133" spans="1:19" ht="18" customHeight="1" x14ac:dyDescent="0.3">
      <c r="A133" s="131">
        <v>132</v>
      </c>
      <c r="B133" s="132" t="s">
        <v>250</v>
      </c>
      <c r="C133" s="133" t="s">
        <v>19</v>
      </c>
      <c r="D133" s="133" t="s">
        <v>47</v>
      </c>
      <c r="E133" s="134" t="s">
        <v>13</v>
      </c>
      <c r="F133" s="135"/>
      <c r="G133" s="136" t="s">
        <v>619</v>
      </c>
      <c r="H133" s="137" t="s">
        <v>620</v>
      </c>
      <c r="I133" s="145" t="s">
        <v>621</v>
      </c>
      <c r="J133" s="139" t="s">
        <v>186</v>
      </c>
      <c r="K133" s="135"/>
      <c r="L133" s="135"/>
      <c r="M133" s="140" t="s">
        <v>257</v>
      </c>
      <c r="N133" s="141"/>
      <c r="O133" s="142" t="s">
        <v>290</v>
      </c>
      <c r="P133" s="143" t="s">
        <v>54</v>
      </c>
      <c r="Q133" s="144" t="s">
        <v>264</v>
      </c>
      <c r="R133" s="144" t="s">
        <v>622</v>
      </c>
      <c r="S133" s="131"/>
    </row>
    <row r="134" spans="1:19" ht="18" hidden="1" customHeight="1" x14ac:dyDescent="0.3">
      <c r="A134" s="131">
        <v>133</v>
      </c>
      <c r="B134" s="132" t="s">
        <v>250</v>
      </c>
      <c r="C134" s="133" t="s">
        <v>19</v>
      </c>
      <c r="D134" s="133" t="s">
        <v>47</v>
      </c>
      <c r="E134" s="134" t="s">
        <v>14</v>
      </c>
      <c r="F134" s="150" t="s">
        <v>127</v>
      </c>
      <c r="G134" s="136" t="s">
        <v>623</v>
      </c>
      <c r="H134" s="137" t="s">
        <v>624</v>
      </c>
      <c r="I134" s="138"/>
      <c r="J134" s="139" t="s">
        <v>51</v>
      </c>
      <c r="K134" s="135"/>
      <c r="L134" s="135"/>
      <c r="M134" s="148" t="s">
        <v>40</v>
      </c>
      <c r="N134" s="141" t="s">
        <v>625</v>
      </c>
      <c r="O134" s="142"/>
      <c r="P134" s="143" t="s">
        <v>54</v>
      </c>
      <c r="Q134" s="144" t="s">
        <v>292</v>
      </c>
      <c r="R134" s="144" t="s">
        <v>626</v>
      </c>
      <c r="S134" s="131"/>
    </row>
    <row r="135" spans="1:19" ht="18" customHeight="1" x14ac:dyDescent="0.3">
      <c r="A135" s="131">
        <v>134</v>
      </c>
      <c r="B135" s="132" t="s">
        <v>250</v>
      </c>
      <c r="C135" s="133" t="s">
        <v>19</v>
      </c>
      <c r="D135" s="133" t="s">
        <v>47</v>
      </c>
      <c r="E135" s="134" t="s">
        <v>13</v>
      </c>
      <c r="F135" s="135"/>
      <c r="G135" s="136" t="s">
        <v>627</v>
      </c>
      <c r="H135" s="137" t="s">
        <v>628</v>
      </c>
      <c r="I135" s="138"/>
      <c r="J135" s="139"/>
      <c r="K135" s="135"/>
      <c r="L135" s="135"/>
      <c r="M135" s="140" t="s">
        <v>257</v>
      </c>
      <c r="N135" s="141"/>
      <c r="O135" s="142" t="s">
        <v>354</v>
      </c>
      <c r="P135" s="143" t="s">
        <v>54</v>
      </c>
      <c r="Q135" s="144" t="s">
        <v>381</v>
      </c>
      <c r="R135" s="144" t="s">
        <v>629</v>
      </c>
      <c r="S135" s="131"/>
    </row>
    <row r="136" spans="1:19" ht="18" customHeight="1" x14ac:dyDescent="0.3">
      <c r="A136" s="131">
        <v>135</v>
      </c>
      <c r="B136" s="132" t="s">
        <v>250</v>
      </c>
      <c r="C136" s="133" t="s">
        <v>19</v>
      </c>
      <c r="D136" s="133" t="s">
        <v>47</v>
      </c>
      <c r="E136" s="134" t="s">
        <v>13</v>
      </c>
      <c r="F136" s="135"/>
      <c r="G136" s="136" t="s">
        <v>630</v>
      </c>
      <c r="H136" s="137" t="s">
        <v>631</v>
      </c>
      <c r="I136" s="145" t="s">
        <v>632</v>
      </c>
      <c r="J136" s="139" t="s">
        <v>186</v>
      </c>
      <c r="K136" s="135"/>
      <c r="L136" s="135"/>
      <c r="M136" s="140" t="s">
        <v>257</v>
      </c>
      <c r="N136" s="141"/>
      <c r="O136" s="142" t="s">
        <v>354</v>
      </c>
      <c r="P136" s="143" t="s">
        <v>54</v>
      </c>
      <c r="Q136" s="144" t="s">
        <v>381</v>
      </c>
      <c r="R136" s="144" t="s">
        <v>633</v>
      </c>
      <c r="S136" s="131"/>
    </row>
    <row r="137" spans="1:19" ht="18" customHeight="1" x14ac:dyDescent="0.3">
      <c r="A137" s="131">
        <v>136</v>
      </c>
      <c r="B137" s="132" t="s">
        <v>250</v>
      </c>
      <c r="C137" s="133" t="s">
        <v>19</v>
      </c>
      <c r="D137" s="133" t="s">
        <v>47</v>
      </c>
      <c r="E137" s="134" t="s">
        <v>13</v>
      </c>
      <c r="F137" s="135"/>
      <c r="G137" s="136" t="s">
        <v>634</v>
      </c>
      <c r="H137" s="137" t="s">
        <v>635</v>
      </c>
      <c r="I137" s="138"/>
      <c r="J137" s="139"/>
      <c r="K137" s="135"/>
      <c r="L137" s="135"/>
      <c r="M137" s="140" t="s">
        <v>257</v>
      </c>
      <c r="N137" s="141"/>
      <c r="O137" s="142" t="s">
        <v>354</v>
      </c>
      <c r="P137" s="143" t="s">
        <v>54</v>
      </c>
      <c r="Q137" s="144" t="s">
        <v>258</v>
      </c>
      <c r="R137" s="144" t="s">
        <v>636</v>
      </c>
      <c r="S137" s="131"/>
    </row>
    <row r="138" spans="1:19" ht="18" customHeight="1" x14ac:dyDescent="0.3">
      <c r="A138" s="131">
        <v>137</v>
      </c>
      <c r="B138" s="132" t="s">
        <v>250</v>
      </c>
      <c r="C138" s="133" t="s">
        <v>19</v>
      </c>
      <c r="D138" s="133" t="s">
        <v>47</v>
      </c>
      <c r="E138" s="134" t="s">
        <v>13</v>
      </c>
      <c r="F138" s="135"/>
      <c r="G138" s="136" t="s">
        <v>637</v>
      </c>
      <c r="H138" s="137" t="s">
        <v>638</v>
      </c>
      <c r="I138" s="145" t="s">
        <v>639</v>
      </c>
      <c r="J138" s="139" t="s">
        <v>186</v>
      </c>
      <c r="K138" s="135"/>
      <c r="L138" s="135"/>
      <c r="M138" s="140" t="s">
        <v>257</v>
      </c>
      <c r="N138" s="141"/>
      <c r="O138" s="142" t="s">
        <v>354</v>
      </c>
      <c r="P138" s="143" t="s">
        <v>640</v>
      </c>
      <c r="Q138" s="144" t="s">
        <v>254</v>
      </c>
      <c r="R138" s="144" t="s">
        <v>641</v>
      </c>
      <c r="S138" s="131"/>
    </row>
    <row r="139" spans="1:19" ht="18" customHeight="1" x14ac:dyDescent="0.3">
      <c r="A139" s="117">
        <v>138</v>
      </c>
      <c r="B139" s="118" t="s">
        <v>250</v>
      </c>
      <c r="C139" s="119" t="s">
        <v>19</v>
      </c>
      <c r="D139" s="119" t="s">
        <v>47</v>
      </c>
      <c r="E139" s="120" t="s">
        <v>13</v>
      </c>
      <c r="F139" s="146" t="s">
        <v>48</v>
      </c>
      <c r="G139" s="122" t="s">
        <v>642</v>
      </c>
      <c r="H139" s="123" t="s">
        <v>643</v>
      </c>
      <c r="I139" s="124"/>
      <c r="J139" s="125" t="s">
        <v>51</v>
      </c>
      <c r="K139" s="121"/>
      <c r="L139" s="121"/>
      <c r="M139" s="126" t="s">
        <v>40</v>
      </c>
      <c r="N139" s="127" t="s">
        <v>644</v>
      </c>
      <c r="O139" s="128" t="s">
        <v>354</v>
      </c>
      <c r="P139" s="129" t="s">
        <v>54</v>
      </c>
      <c r="Q139" s="130" t="s">
        <v>254</v>
      </c>
      <c r="R139" s="130" t="s">
        <v>645</v>
      </c>
      <c r="S139" s="117"/>
    </row>
    <row r="140" spans="1:19" ht="18" hidden="1" customHeight="1" x14ac:dyDescent="0.3">
      <c r="A140" s="131">
        <v>139</v>
      </c>
      <c r="B140" s="132" t="s">
        <v>250</v>
      </c>
      <c r="C140" s="133" t="s">
        <v>19</v>
      </c>
      <c r="D140" s="133" t="s">
        <v>47</v>
      </c>
      <c r="E140" s="134" t="s">
        <v>14</v>
      </c>
      <c r="F140" s="135"/>
      <c r="G140" s="136" t="s">
        <v>646</v>
      </c>
      <c r="H140" s="137" t="s">
        <v>647</v>
      </c>
      <c r="I140" s="138"/>
      <c r="J140" s="139"/>
      <c r="K140" s="135"/>
      <c r="L140" s="135"/>
      <c r="M140" s="148" t="s">
        <v>257</v>
      </c>
      <c r="N140" s="141"/>
      <c r="O140" s="142"/>
      <c r="P140" s="143" t="s">
        <v>648</v>
      </c>
      <c r="Q140" s="144" t="s">
        <v>298</v>
      </c>
      <c r="R140" s="144" t="s">
        <v>649</v>
      </c>
      <c r="S140" s="131"/>
    </row>
    <row r="141" spans="1:19" ht="18" hidden="1" customHeight="1" x14ac:dyDescent="0.3">
      <c r="A141" s="131">
        <v>140</v>
      </c>
      <c r="B141" s="132" t="s">
        <v>250</v>
      </c>
      <c r="C141" s="133" t="s">
        <v>19</v>
      </c>
      <c r="D141" s="133" t="s">
        <v>47</v>
      </c>
      <c r="E141" s="134" t="s">
        <v>14</v>
      </c>
      <c r="F141" s="135"/>
      <c r="G141" s="136" t="s">
        <v>650</v>
      </c>
      <c r="H141" s="137" t="s">
        <v>651</v>
      </c>
      <c r="I141" s="138"/>
      <c r="J141" s="139"/>
      <c r="K141" s="135"/>
      <c r="L141" s="135"/>
      <c r="M141" s="148" t="s">
        <v>257</v>
      </c>
      <c r="N141" s="141"/>
      <c r="O141" s="142"/>
      <c r="P141" s="143" t="s">
        <v>393</v>
      </c>
      <c r="Q141" s="144" t="s">
        <v>298</v>
      </c>
      <c r="R141" s="144"/>
      <c r="S141" s="131"/>
    </row>
    <row r="142" spans="1:19" ht="18" hidden="1" customHeight="1" x14ac:dyDescent="0.3">
      <c r="A142" s="131">
        <v>141</v>
      </c>
      <c r="B142" s="132" t="s">
        <v>250</v>
      </c>
      <c r="C142" s="133" t="s">
        <v>19</v>
      </c>
      <c r="D142" s="133" t="s">
        <v>47</v>
      </c>
      <c r="E142" s="134" t="s">
        <v>14</v>
      </c>
      <c r="F142" s="135"/>
      <c r="G142" s="136" t="s">
        <v>652</v>
      </c>
      <c r="H142" s="137" t="s">
        <v>653</v>
      </c>
      <c r="I142" s="138"/>
      <c r="J142" s="139"/>
      <c r="K142" s="135"/>
      <c r="L142" s="135"/>
      <c r="M142" s="148" t="s">
        <v>257</v>
      </c>
      <c r="N142" s="141"/>
      <c r="O142" s="142"/>
      <c r="P142" s="143" t="s">
        <v>546</v>
      </c>
      <c r="Q142" s="144" t="s">
        <v>298</v>
      </c>
      <c r="R142" s="144" t="s">
        <v>654</v>
      </c>
      <c r="S142" s="131"/>
    </row>
    <row r="143" spans="1:19" ht="18" hidden="1" customHeight="1" x14ac:dyDescent="0.3">
      <c r="A143" s="131">
        <v>142</v>
      </c>
      <c r="B143" s="132" t="s">
        <v>250</v>
      </c>
      <c r="C143" s="133" t="s">
        <v>19</v>
      </c>
      <c r="D143" s="133" t="s">
        <v>47</v>
      </c>
      <c r="E143" s="134" t="s">
        <v>14</v>
      </c>
      <c r="F143" s="135"/>
      <c r="G143" s="136" t="s">
        <v>655</v>
      </c>
      <c r="H143" s="137" t="s">
        <v>656</v>
      </c>
      <c r="I143" s="138"/>
      <c r="J143" s="139"/>
      <c r="K143" s="135"/>
      <c r="L143" s="135"/>
      <c r="M143" s="148" t="s">
        <v>257</v>
      </c>
      <c r="N143" s="141"/>
      <c r="O143" s="142"/>
      <c r="P143" s="143" t="s">
        <v>54</v>
      </c>
      <c r="Q143" s="144" t="s">
        <v>298</v>
      </c>
      <c r="R143" s="144" t="s">
        <v>657</v>
      </c>
      <c r="S143" s="131"/>
    </row>
    <row r="144" spans="1:19" ht="18" hidden="1" customHeight="1" x14ac:dyDescent="0.3">
      <c r="A144" s="131">
        <v>143</v>
      </c>
      <c r="B144" s="132" t="s">
        <v>250</v>
      </c>
      <c r="C144" s="133" t="s">
        <v>19</v>
      </c>
      <c r="D144" s="133" t="s">
        <v>47</v>
      </c>
      <c r="E144" s="134" t="s">
        <v>14</v>
      </c>
      <c r="F144" s="135"/>
      <c r="G144" s="136" t="s">
        <v>658</v>
      </c>
      <c r="H144" s="137" t="s">
        <v>659</v>
      </c>
      <c r="I144" s="138"/>
      <c r="J144" s="139"/>
      <c r="K144" s="135"/>
      <c r="L144" s="135"/>
      <c r="M144" s="148" t="s">
        <v>257</v>
      </c>
      <c r="N144" s="141"/>
      <c r="O144" s="142"/>
      <c r="P144" s="143" t="s">
        <v>54</v>
      </c>
      <c r="Q144" s="144" t="s">
        <v>298</v>
      </c>
      <c r="R144" s="144" t="s">
        <v>660</v>
      </c>
      <c r="S144" s="131"/>
    </row>
    <row r="145" spans="1:19" ht="18" hidden="1" customHeight="1" x14ac:dyDescent="0.3">
      <c r="A145" s="131">
        <v>144</v>
      </c>
      <c r="B145" s="132" t="s">
        <v>250</v>
      </c>
      <c r="C145" s="133" t="s">
        <v>19</v>
      </c>
      <c r="D145" s="133" t="s">
        <v>47</v>
      </c>
      <c r="E145" s="134" t="s">
        <v>14</v>
      </c>
      <c r="F145" s="135"/>
      <c r="G145" s="136" t="s">
        <v>661</v>
      </c>
      <c r="H145" s="137" t="s">
        <v>662</v>
      </c>
      <c r="I145" s="138"/>
      <c r="J145" s="139"/>
      <c r="K145" s="135"/>
      <c r="L145" s="135"/>
      <c r="M145" s="148" t="s">
        <v>257</v>
      </c>
      <c r="N145" s="141"/>
      <c r="O145" s="142"/>
      <c r="P145" s="143" t="s">
        <v>461</v>
      </c>
      <c r="Q145" s="144" t="s">
        <v>298</v>
      </c>
      <c r="R145" s="144" t="s">
        <v>663</v>
      </c>
      <c r="S145" s="131"/>
    </row>
    <row r="146" spans="1:19" ht="18" hidden="1" customHeight="1" x14ac:dyDescent="0.3">
      <c r="A146" s="131">
        <v>145</v>
      </c>
      <c r="B146" s="132" t="s">
        <v>250</v>
      </c>
      <c r="C146" s="133" t="s">
        <v>19</v>
      </c>
      <c r="D146" s="133" t="s">
        <v>47</v>
      </c>
      <c r="E146" s="134" t="s">
        <v>14</v>
      </c>
      <c r="F146" s="135"/>
      <c r="G146" s="136" t="s">
        <v>664</v>
      </c>
      <c r="H146" s="137" t="s">
        <v>665</v>
      </c>
      <c r="I146" s="138"/>
      <c r="J146" s="139" t="s">
        <v>186</v>
      </c>
      <c r="K146" s="135"/>
      <c r="L146" s="135"/>
      <c r="M146" s="148" t="s">
        <v>257</v>
      </c>
      <c r="N146" s="141"/>
      <c r="O146" s="142"/>
      <c r="P146" s="143" t="s">
        <v>495</v>
      </c>
      <c r="Q146" s="144" t="s">
        <v>298</v>
      </c>
      <c r="R146" s="144" t="s">
        <v>666</v>
      </c>
      <c r="S146" s="131"/>
    </row>
    <row r="147" spans="1:19" ht="18" hidden="1" customHeight="1" x14ac:dyDescent="0.3">
      <c r="A147" s="131">
        <v>146</v>
      </c>
      <c r="B147" s="132" t="s">
        <v>250</v>
      </c>
      <c r="C147" s="133" t="s">
        <v>19</v>
      </c>
      <c r="D147" s="133" t="s">
        <v>47</v>
      </c>
      <c r="E147" s="134" t="s">
        <v>13</v>
      </c>
      <c r="F147" s="150" t="s">
        <v>80</v>
      </c>
      <c r="G147" s="136" t="s">
        <v>667</v>
      </c>
      <c r="H147" s="137" t="s">
        <v>668</v>
      </c>
      <c r="I147" s="138" t="s">
        <v>669</v>
      </c>
      <c r="J147" s="139"/>
      <c r="K147" s="135"/>
      <c r="L147" s="135"/>
      <c r="M147" s="140"/>
      <c r="N147" s="141"/>
      <c r="O147" s="142"/>
      <c r="P147" s="143" t="s">
        <v>73</v>
      </c>
      <c r="Q147" s="144"/>
      <c r="R147" s="144" t="s">
        <v>670</v>
      </c>
      <c r="S147" s="131" t="s">
        <v>68</v>
      </c>
    </row>
    <row r="148" spans="1:19" ht="18" hidden="1" customHeight="1" x14ac:dyDescent="0.3">
      <c r="A148" s="131">
        <v>147</v>
      </c>
      <c r="B148" s="132" t="s">
        <v>250</v>
      </c>
      <c r="C148" s="133" t="s">
        <v>19</v>
      </c>
      <c r="D148" s="133" t="s">
        <v>47</v>
      </c>
      <c r="E148" s="134" t="s">
        <v>13</v>
      </c>
      <c r="F148" s="150" t="s">
        <v>80</v>
      </c>
      <c r="G148" s="136" t="s">
        <v>671</v>
      </c>
      <c r="H148" s="137"/>
      <c r="I148" s="138" t="s">
        <v>672</v>
      </c>
      <c r="J148" s="139"/>
      <c r="K148" s="135"/>
      <c r="L148" s="135"/>
      <c r="M148" s="140"/>
      <c r="N148" s="141"/>
      <c r="O148" s="142"/>
      <c r="P148" s="143"/>
      <c r="Q148" s="144"/>
      <c r="R148" s="144" t="s">
        <v>673</v>
      </c>
      <c r="S148" s="131" t="s">
        <v>68</v>
      </c>
    </row>
    <row r="149" spans="1:19" ht="18" customHeight="1" x14ac:dyDescent="0.3">
      <c r="A149" s="131">
        <v>148</v>
      </c>
      <c r="B149" s="132" t="s">
        <v>250</v>
      </c>
      <c r="C149" s="133" t="s">
        <v>19</v>
      </c>
      <c r="D149" s="133" t="s">
        <v>47</v>
      </c>
      <c r="E149" s="134" t="s">
        <v>13</v>
      </c>
      <c r="F149" s="150" t="s">
        <v>86</v>
      </c>
      <c r="G149" s="136" t="s">
        <v>674</v>
      </c>
      <c r="H149" s="137" t="s">
        <v>675</v>
      </c>
      <c r="I149" s="145" t="s">
        <v>77</v>
      </c>
      <c r="J149" s="139"/>
      <c r="K149" s="135"/>
      <c r="L149" s="135"/>
      <c r="M149" s="148" t="s">
        <v>40</v>
      </c>
      <c r="N149" s="141" t="s">
        <v>676</v>
      </c>
      <c r="O149" s="142"/>
      <c r="P149" s="143" t="s">
        <v>73</v>
      </c>
      <c r="Q149" s="144" t="s">
        <v>90</v>
      </c>
      <c r="R149" s="144" t="s">
        <v>677</v>
      </c>
      <c r="S149" s="131" t="s">
        <v>68</v>
      </c>
    </row>
    <row r="150" spans="1:19" ht="18" customHeight="1" x14ac:dyDescent="0.3">
      <c r="A150" s="131">
        <v>149</v>
      </c>
      <c r="B150" s="132" t="s">
        <v>250</v>
      </c>
      <c r="C150" s="133" t="s">
        <v>19</v>
      </c>
      <c r="D150" s="133" t="s">
        <v>47</v>
      </c>
      <c r="E150" s="134" t="s">
        <v>13</v>
      </c>
      <c r="F150" s="150" t="s">
        <v>80</v>
      </c>
      <c r="G150" s="136" t="s">
        <v>678</v>
      </c>
      <c r="H150" s="137" t="s">
        <v>679</v>
      </c>
      <c r="I150" s="145" t="s">
        <v>680</v>
      </c>
      <c r="J150" s="139"/>
      <c r="K150" s="135"/>
      <c r="L150" s="135"/>
      <c r="M150" s="140" t="s">
        <v>257</v>
      </c>
      <c r="N150" s="141"/>
      <c r="O150" s="142"/>
      <c r="P150" s="143"/>
      <c r="Q150" s="144"/>
      <c r="R150" s="144" t="s">
        <v>681</v>
      </c>
      <c r="S150" s="131" t="s">
        <v>68</v>
      </c>
    </row>
    <row r="151" spans="1:19" ht="18" customHeight="1" x14ac:dyDescent="0.3">
      <c r="A151" s="131">
        <v>150</v>
      </c>
      <c r="B151" s="132" t="s">
        <v>250</v>
      </c>
      <c r="C151" s="133" t="s">
        <v>19</v>
      </c>
      <c r="D151" s="133" t="s">
        <v>47</v>
      </c>
      <c r="E151" s="134" t="s">
        <v>13</v>
      </c>
      <c r="F151" s="150" t="s">
        <v>48</v>
      </c>
      <c r="G151" s="136" t="s">
        <v>682</v>
      </c>
      <c r="H151" s="137" t="s">
        <v>683</v>
      </c>
      <c r="I151" s="145" t="s">
        <v>684</v>
      </c>
      <c r="J151" s="139" t="s">
        <v>186</v>
      </c>
      <c r="K151" s="135"/>
      <c r="L151" s="135"/>
      <c r="M151" s="140" t="s">
        <v>257</v>
      </c>
      <c r="N151" s="141"/>
      <c r="O151" s="142"/>
      <c r="P151" s="143"/>
      <c r="Q151" s="144"/>
      <c r="R151" s="144" t="s">
        <v>685</v>
      </c>
      <c r="S151" s="131" t="s">
        <v>68</v>
      </c>
    </row>
    <row r="152" spans="1:19" ht="18" hidden="1" customHeight="1" x14ac:dyDescent="0.3">
      <c r="A152" s="131">
        <v>151</v>
      </c>
      <c r="B152" s="132" t="s">
        <v>250</v>
      </c>
      <c r="C152" s="133" t="s">
        <v>19</v>
      </c>
      <c r="D152" s="133" t="s">
        <v>47</v>
      </c>
      <c r="E152" s="134" t="s">
        <v>14</v>
      </c>
      <c r="F152" s="150" t="s">
        <v>115</v>
      </c>
      <c r="G152" s="136" t="s">
        <v>686</v>
      </c>
      <c r="H152" s="137" t="s">
        <v>687</v>
      </c>
      <c r="I152" s="138" t="s">
        <v>688</v>
      </c>
      <c r="J152" s="139"/>
      <c r="K152" s="135"/>
      <c r="L152" s="135"/>
      <c r="M152" s="148" t="s">
        <v>40</v>
      </c>
      <c r="N152" s="141" t="s">
        <v>689</v>
      </c>
      <c r="O152" s="142"/>
      <c r="P152" s="143"/>
      <c r="Q152" s="144"/>
      <c r="R152" s="144" t="s">
        <v>690</v>
      </c>
      <c r="S152" s="131" t="s">
        <v>68</v>
      </c>
    </row>
    <row r="153" spans="1:19" ht="18" hidden="1" customHeight="1" x14ac:dyDescent="0.3">
      <c r="A153" s="131">
        <v>152</v>
      </c>
      <c r="B153" s="132" t="s">
        <v>250</v>
      </c>
      <c r="C153" s="133" t="s">
        <v>19</v>
      </c>
      <c r="D153" s="133" t="s">
        <v>47</v>
      </c>
      <c r="E153" s="134" t="s">
        <v>14</v>
      </c>
      <c r="F153" s="150" t="s">
        <v>86</v>
      </c>
      <c r="G153" s="136" t="s">
        <v>691</v>
      </c>
      <c r="H153" s="137" t="s">
        <v>692</v>
      </c>
      <c r="I153" s="138" t="s">
        <v>693</v>
      </c>
      <c r="J153" s="139"/>
      <c r="K153" s="135"/>
      <c r="L153" s="135"/>
      <c r="M153" s="148" t="s">
        <v>40</v>
      </c>
      <c r="N153" s="141" t="s">
        <v>694</v>
      </c>
      <c r="O153" s="142"/>
      <c r="P153" s="143" t="s">
        <v>73</v>
      </c>
      <c r="Q153" s="144" t="s">
        <v>90</v>
      </c>
      <c r="R153" s="144" t="s">
        <v>695</v>
      </c>
      <c r="S153" s="131" t="s">
        <v>68</v>
      </c>
    </row>
    <row r="154" spans="1:19" ht="18" hidden="1" customHeight="1" x14ac:dyDescent="0.3">
      <c r="A154" s="131">
        <v>153</v>
      </c>
      <c r="B154" s="132" t="s">
        <v>250</v>
      </c>
      <c r="C154" s="133" t="s">
        <v>19</v>
      </c>
      <c r="D154" s="133" t="s">
        <v>47</v>
      </c>
      <c r="E154" s="134" t="s">
        <v>14</v>
      </c>
      <c r="F154" s="135"/>
      <c r="G154" s="136" t="s">
        <v>696</v>
      </c>
      <c r="H154" s="137" t="s">
        <v>697</v>
      </c>
      <c r="I154" s="138" t="s">
        <v>698</v>
      </c>
      <c r="J154" s="139" t="s">
        <v>186</v>
      </c>
      <c r="K154" s="135"/>
      <c r="L154" s="135"/>
      <c r="M154" s="148" t="s">
        <v>257</v>
      </c>
      <c r="N154" s="141"/>
      <c r="O154" s="142"/>
      <c r="P154" s="143" t="s">
        <v>73</v>
      </c>
      <c r="Q154" s="144" t="s">
        <v>699</v>
      </c>
      <c r="R154" s="144" t="s">
        <v>700</v>
      </c>
      <c r="S154" s="131" t="s">
        <v>701</v>
      </c>
    </row>
    <row r="155" spans="1:19" ht="18" hidden="1" customHeight="1" x14ac:dyDescent="0.3">
      <c r="A155" s="131">
        <v>154</v>
      </c>
      <c r="B155" s="132" t="s">
        <v>250</v>
      </c>
      <c r="C155" s="133" t="s">
        <v>19</v>
      </c>
      <c r="D155" s="133" t="s">
        <v>47</v>
      </c>
      <c r="E155" s="134" t="s">
        <v>14</v>
      </c>
      <c r="F155" s="135"/>
      <c r="G155" s="136" t="s">
        <v>702</v>
      </c>
      <c r="H155" s="137" t="s">
        <v>315</v>
      </c>
      <c r="I155" s="138" t="s">
        <v>703</v>
      </c>
      <c r="J155" s="139"/>
      <c r="K155" s="135"/>
      <c r="L155" s="135"/>
      <c r="M155" s="148" t="s">
        <v>40</v>
      </c>
      <c r="N155" s="141" t="s">
        <v>704</v>
      </c>
      <c r="O155" s="142"/>
      <c r="P155" s="143" t="s">
        <v>73</v>
      </c>
      <c r="Q155" s="144" t="s">
        <v>705</v>
      </c>
      <c r="R155" s="144" t="s">
        <v>706</v>
      </c>
      <c r="S155" s="131" t="s">
        <v>707</v>
      </c>
    </row>
    <row r="156" spans="1:19" ht="18" hidden="1" customHeight="1" x14ac:dyDescent="0.3">
      <c r="A156" s="131">
        <v>155</v>
      </c>
      <c r="B156" s="132" t="s">
        <v>250</v>
      </c>
      <c r="C156" s="133" t="s">
        <v>19</v>
      </c>
      <c r="D156" s="133" t="s">
        <v>47</v>
      </c>
      <c r="E156" s="134" t="s">
        <v>16</v>
      </c>
      <c r="F156" s="150" t="s">
        <v>80</v>
      </c>
      <c r="G156" s="136" t="s">
        <v>708</v>
      </c>
      <c r="H156" s="137" t="s">
        <v>709</v>
      </c>
      <c r="I156" s="138" t="s">
        <v>359</v>
      </c>
      <c r="J156" s="139"/>
      <c r="K156" s="135"/>
      <c r="L156" s="135"/>
      <c r="M156" s="148" t="s">
        <v>40</v>
      </c>
      <c r="N156" s="141" t="s">
        <v>710</v>
      </c>
      <c r="O156" s="142"/>
      <c r="P156" s="143"/>
      <c r="Q156" s="144"/>
      <c r="R156" s="144" t="s">
        <v>711</v>
      </c>
      <c r="S156" s="131" t="s">
        <v>68</v>
      </c>
    </row>
    <row r="157" spans="1:19" ht="18" hidden="1" customHeight="1" x14ac:dyDescent="0.3">
      <c r="A157" s="131">
        <v>156</v>
      </c>
      <c r="B157" s="132" t="s">
        <v>250</v>
      </c>
      <c r="C157" s="133" t="s">
        <v>19</v>
      </c>
      <c r="D157" s="133" t="s">
        <v>47</v>
      </c>
      <c r="E157" s="134" t="s">
        <v>16</v>
      </c>
      <c r="F157" s="150" t="s">
        <v>48</v>
      </c>
      <c r="G157" s="136" t="s">
        <v>712</v>
      </c>
      <c r="H157" s="137" t="s">
        <v>713</v>
      </c>
      <c r="I157" s="138" t="s">
        <v>714</v>
      </c>
      <c r="J157" s="139" t="s">
        <v>186</v>
      </c>
      <c r="K157" s="135"/>
      <c r="L157" s="135"/>
      <c r="M157" s="140" t="s">
        <v>257</v>
      </c>
      <c r="N157" s="141"/>
      <c r="O157" s="142"/>
      <c r="P157" s="143"/>
      <c r="Q157" s="144"/>
      <c r="R157" s="144" t="s">
        <v>715</v>
      </c>
      <c r="S157" s="131" t="s">
        <v>68</v>
      </c>
    </row>
    <row r="158" spans="1:19" ht="18" hidden="1" customHeight="1" x14ac:dyDescent="0.3">
      <c r="A158" s="131">
        <v>157</v>
      </c>
      <c r="B158" s="132" t="s">
        <v>250</v>
      </c>
      <c r="C158" s="133" t="s">
        <v>19</v>
      </c>
      <c r="D158" s="133" t="s">
        <v>47</v>
      </c>
      <c r="E158" s="134" t="s">
        <v>17</v>
      </c>
      <c r="F158" s="150" t="s">
        <v>86</v>
      </c>
      <c r="G158" s="136" t="s">
        <v>716</v>
      </c>
      <c r="H158" s="137"/>
      <c r="I158" s="138" t="s">
        <v>717</v>
      </c>
      <c r="J158" s="139"/>
      <c r="K158" s="135"/>
      <c r="L158" s="135"/>
      <c r="M158" s="148" t="s">
        <v>40</v>
      </c>
      <c r="N158" s="141" t="s">
        <v>718</v>
      </c>
      <c r="O158" s="142"/>
      <c r="P158" s="143"/>
      <c r="Q158" s="144" t="s">
        <v>719</v>
      </c>
      <c r="R158" s="144" t="s">
        <v>720</v>
      </c>
      <c r="S158" s="131" t="s">
        <v>68</v>
      </c>
    </row>
    <row r="159" spans="1:19" ht="18" hidden="1" customHeight="1" x14ac:dyDescent="0.3">
      <c r="A159" s="131">
        <v>158</v>
      </c>
      <c r="B159" s="132" t="s">
        <v>250</v>
      </c>
      <c r="C159" s="133" t="s">
        <v>19</v>
      </c>
      <c r="D159" s="133" t="s">
        <v>47</v>
      </c>
      <c r="E159" s="134" t="s">
        <v>17</v>
      </c>
      <c r="F159" s="150" t="s">
        <v>115</v>
      </c>
      <c r="G159" s="136" t="s">
        <v>721</v>
      </c>
      <c r="H159" s="137" t="s">
        <v>722</v>
      </c>
      <c r="I159" s="138" t="s">
        <v>723</v>
      </c>
      <c r="J159" s="139"/>
      <c r="K159" s="135"/>
      <c r="L159" s="135"/>
      <c r="M159" s="140" t="s">
        <v>257</v>
      </c>
      <c r="N159" s="141"/>
      <c r="O159" s="142"/>
      <c r="P159" s="143"/>
      <c r="Q159" s="144" t="s">
        <v>109</v>
      </c>
      <c r="R159" s="144" t="s">
        <v>724</v>
      </c>
      <c r="S159" s="131" t="s">
        <v>68</v>
      </c>
    </row>
    <row r="160" spans="1:19" ht="18" hidden="1" customHeight="1" x14ac:dyDescent="0.3">
      <c r="A160" s="131">
        <v>159</v>
      </c>
      <c r="B160" s="132" t="s">
        <v>250</v>
      </c>
      <c r="C160" s="133" t="s">
        <v>19</v>
      </c>
      <c r="D160" s="133" t="s">
        <v>47</v>
      </c>
      <c r="E160" s="134" t="s">
        <v>17</v>
      </c>
      <c r="F160" s="150" t="s">
        <v>115</v>
      </c>
      <c r="G160" s="136" t="s">
        <v>725</v>
      </c>
      <c r="H160" s="137" t="s">
        <v>726</v>
      </c>
      <c r="I160" s="138" t="s">
        <v>124</v>
      </c>
      <c r="J160" s="139"/>
      <c r="K160" s="135"/>
      <c r="L160" s="135"/>
      <c r="M160" s="140" t="s">
        <v>257</v>
      </c>
      <c r="N160" s="141"/>
      <c r="O160" s="142"/>
      <c r="P160" s="143" t="s">
        <v>73</v>
      </c>
      <c r="Q160" s="144" t="s">
        <v>109</v>
      </c>
      <c r="R160" s="144" t="s">
        <v>727</v>
      </c>
      <c r="S160" s="131" t="s">
        <v>68</v>
      </c>
    </row>
    <row r="161" spans="1:19" ht="18" hidden="1" customHeight="1" x14ac:dyDescent="0.3">
      <c r="A161" s="131">
        <v>160</v>
      </c>
      <c r="B161" s="132" t="s">
        <v>250</v>
      </c>
      <c r="C161" s="133" t="s">
        <v>19</v>
      </c>
      <c r="D161" s="133" t="s">
        <v>47</v>
      </c>
      <c r="E161" s="134" t="s">
        <v>17</v>
      </c>
      <c r="F161" s="150" t="s">
        <v>115</v>
      </c>
      <c r="G161" s="136" t="s">
        <v>728</v>
      </c>
      <c r="H161" s="137" t="s">
        <v>729</v>
      </c>
      <c r="I161" s="138" t="s">
        <v>730</v>
      </c>
      <c r="J161" s="139"/>
      <c r="K161" s="135"/>
      <c r="L161" s="135"/>
      <c r="M161" s="140" t="s">
        <v>257</v>
      </c>
      <c r="N161" s="141"/>
      <c r="O161" s="142"/>
      <c r="P161" s="143"/>
      <c r="Q161" s="144" t="s">
        <v>731</v>
      </c>
      <c r="R161" s="144" t="s">
        <v>732</v>
      </c>
      <c r="S161" s="131" t="s">
        <v>68</v>
      </c>
    </row>
    <row r="162" spans="1:19" ht="18" hidden="1" customHeight="1" x14ac:dyDescent="0.3">
      <c r="A162" s="131">
        <v>161</v>
      </c>
      <c r="B162" s="132" t="s">
        <v>250</v>
      </c>
      <c r="C162" s="133" t="s">
        <v>19</v>
      </c>
      <c r="D162" s="133" t="s">
        <v>47</v>
      </c>
      <c r="E162" s="134" t="s">
        <v>17</v>
      </c>
      <c r="F162" s="150" t="s">
        <v>115</v>
      </c>
      <c r="G162" s="136" t="s">
        <v>733</v>
      </c>
      <c r="H162" s="137" t="s">
        <v>734</v>
      </c>
      <c r="I162" s="138" t="s">
        <v>83</v>
      </c>
      <c r="J162" s="139"/>
      <c r="K162" s="135"/>
      <c r="L162" s="135"/>
      <c r="M162" s="140" t="s">
        <v>257</v>
      </c>
      <c r="N162" s="141"/>
      <c r="O162" s="142"/>
      <c r="P162" s="143" t="s">
        <v>73</v>
      </c>
      <c r="Q162" s="144" t="s">
        <v>109</v>
      </c>
      <c r="R162" s="144" t="s">
        <v>735</v>
      </c>
      <c r="S162" s="131" t="s">
        <v>68</v>
      </c>
    </row>
    <row r="163" spans="1:19" ht="18" customHeight="1" x14ac:dyDescent="0.3">
      <c r="A163" s="131">
        <v>162</v>
      </c>
      <c r="B163" s="132" t="s">
        <v>250</v>
      </c>
      <c r="C163" s="133" t="s">
        <v>19</v>
      </c>
      <c r="D163" s="133" t="s">
        <v>47</v>
      </c>
      <c r="E163" s="134" t="s">
        <v>13</v>
      </c>
      <c r="F163" s="150" t="s">
        <v>736</v>
      </c>
      <c r="G163" s="136" t="s">
        <v>737</v>
      </c>
      <c r="H163" s="137" t="s">
        <v>738</v>
      </c>
      <c r="I163" s="145" t="s">
        <v>739</v>
      </c>
      <c r="J163" s="139"/>
      <c r="K163" s="135"/>
      <c r="L163" s="135"/>
      <c r="M163" s="148" t="s">
        <v>40</v>
      </c>
      <c r="N163" s="141" t="s">
        <v>740</v>
      </c>
      <c r="O163" s="142"/>
      <c r="P163" s="143" t="s">
        <v>73</v>
      </c>
      <c r="Q163" s="144" t="s">
        <v>90</v>
      </c>
      <c r="R163" s="144" t="s">
        <v>741</v>
      </c>
      <c r="S163" s="131"/>
    </row>
    <row r="164" spans="1:19" ht="18" customHeight="1" x14ac:dyDescent="0.3">
      <c r="A164" s="131">
        <v>163</v>
      </c>
      <c r="B164" s="132" t="s">
        <v>250</v>
      </c>
      <c r="C164" s="133" t="s">
        <v>19</v>
      </c>
      <c r="D164" s="133" t="s">
        <v>47</v>
      </c>
      <c r="E164" s="134" t="s">
        <v>13</v>
      </c>
      <c r="F164" s="135"/>
      <c r="G164" s="136" t="s">
        <v>742</v>
      </c>
      <c r="H164" s="137" t="s">
        <v>743</v>
      </c>
      <c r="I164" s="145" t="s">
        <v>224</v>
      </c>
      <c r="J164" s="139"/>
      <c r="K164" s="135"/>
      <c r="L164" s="135"/>
      <c r="M164" s="140" t="s">
        <v>257</v>
      </c>
      <c r="N164" s="141"/>
      <c r="O164" s="142" t="s">
        <v>53</v>
      </c>
      <c r="P164" s="143" t="s">
        <v>73</v>
      </c>
      <c r="Q164" s="144" t="s">
        <v>254</v>
      </c>
      <c r="R164" s="144" t="s">
        <v>744</v>
      </c>
      <c r="S164" s="131"/>
    </row>
    <row r="165" spans="1:19" ht="18" customHeight="1" x14ac:dyDescent="0.3">
      <c r="A165" s="131">
        <v>164</v>
      </c>
      <c r="B165" s="132" t="s">
        <v>250</v>
      </c>
      <c r="C165" s="133" t="s">
        <v>19</v>
      </c>
      <c r="D165" s="133" t="s">
        <v>47</v>
      </c>
      <c r="E165" s="134" t="s">
        <v>13</v>
      </c>
      <c r="F165" s="135"/>
      <c r="G165" s="136" t="s">
        <v>745</v>
      </c>
      <c r="H165" s="137"/>
      <c r="I165" s="138" t="s">
        <v>746</v>
      </c>
      <c r="J165" s="139"/>
      <c r="K165" s="135"/>
      <c r="L165" s="135"/>
      <c r="M165" s="140" t="s">
        <v>257</v>
      </c>
      <c r="N165" s="141"/>
      <c r="O165" s="142" t="s">
        <v>53</v>
      </c>
      <c r="P165" s="143" t="s">
        <v>73</v>
      </c>
      <c r="Q165" s="144" t="s">
        <v>264</v>
      </c>
      <c r="R165" s="144" t="s">
        <v>747</v>
      </c>
      <c r="S165" s="131"/>
    </row>
    <row r="166" spans="1:19" ht="18" customHeight="1" x14ac:dyDescent="0.3">
      <c r="A166" s="131">
        <v>165</v>
      </c>
      <c r="B166" s="132" t="s">
        <v>250</v>
      </c>
      <c r="C166" s="133" t="s">
        <v>19</v>
      </c>
      <c r="D166" s="133" t="s">
        <v>47</v>
      </c>
      <c r="E166" s="134" t="s">
        <v>13</v>
      </c>
      <c r="F166" s="135"/>
      <c r="G166" s="136" t="s">
        <v>748</v>
      </c>
      <c r="H166" s="137" t="s">
        <v>749</v>
      </c>
      <c r="I166" s="145" t="s">
        <v>750</v>
      </c>
      <c r="J166" s="139" t="s">
        <v>186</v>
      </c>
      <c r="K166" s="135"/>
      <c r="L166" s="135"/>
      <c r="M166" s="140" t="s">
        <v>257</v>
      </c>
      <c r="N166" s="141"/>
      <c r="O166" s="142" t="s">
        <v>53</v>
      </c>
      <c r="P166" s="143" t="s">
        <v>73</v>
      </c>
      <c r="Q166" s="144" t="s">
        <v>751</v>
      </c>
      <c r="R166" s="144" t="s">
        <v>752</v>
      </c>
      <c r="S166" s="131"/>
    </row>
    <row r="167" spans="1:19" ht="18" customHeight="1" x14ac:dyDescent="0.3">
      <c r="A167" s="131">
        <v>166</v>
      </c>
      <c r="B167" s="132" t="s">
        <v>250</v>
      </c>
      <c r="C167" s="133" t="s">
        <v>19</v>
      </c>
      <c r="D167" s="133" t="s">
        <v>47</v>
      </c>
      <c r="E167" s="134" t="s">
        <v>13</v>
      </c>
      <c r="F167" s="135"/>
      <c r="G167" s="136" t="s">
        <v>753</v>
      </c>
      <c r="H167" s="137"/>
      <c r="I167" s="145" t="s">
        <v>754</v>
      </c>
      <c r="J167" s="139"/>
      <c r="K167" s="135"/>
      <c r="L167" s="135"/>
      <c r="M167" s="140" t="s">
        <v>257</v>
      </c>
      <c r="N167" s="141"/>
      <c r="O167" s="142" t="s">
        <v>354</v>
      </c>
      <c r="P167" s="143" t="s">
        <v>333</v>
      </c>
      <c r="Q167" s="144" t="s">
        <v>254</v>
      </c>
      <c r="R167" s="144" t="s">
        <v>755</v>
      </c>
      <c r="S167" s="131"/>
    </row>
    <row r="168" spans="1:19" ht="18" customHeight="1" x14ac:dyDescent="0.3">
      <c r="A168" s="131">
        <v>167</v>
      </c>
      <c r="B168" s="132" t="s">
        <v>250</v>
      </c>
      <c r="C168" s="133" t="s">
        <v>19</v>
      </c>
      <c r="D168" s="133" t="s">
        <v>47</v>
      </c>
      <c r="E168" s="134" t="s">
        <v>13</v>
      </c>
      <c r="F168" s="135"/>
      <c r="G168" s="136" t="s">
        <v>756</v>
      </c>
      <c r="H168" s="137" t="s">
        <v>757</v>
      </c>
      <c r="I168" s="145" t="s">
        <v>758</v>
      </c>
      <c r="J168" s="139"/>
      <c r="K168" s="135"/>
      <c r="L168" s="135"/>
      <c r="M168" s="140" t="s">
        <v>257</v>
      </c>
      <c r="N168" s="141"/>
      <c r="O168" s="142" t="s">
        <v>53</v>
      </c>
      <c r="P168" s="143" t="s">
        <v>73</v>
      </c>
      <c r="Q168" s="144" t="s">
        <v>597</v>
      </c>
      <c r="R168" s="144" t="s">
        <v>759</v>
      </c>
      <c r="S168" s="131"/>
    </row>
    <row r="169" spans="1:19" ht="18" customHeight="1" x14ac:dyDescent="0.3">
      <c r="A169" s="131">
        <v>168</v>
      </c>
      <c r="B169" s="132" t="s">
        <v>250</v>
      </c>
      <c r="C169" s="133" t="s">
        <v>19</v>
      </c>
      <c r="D169" s="133" t="s">
        <v>47</v>
      </c>
      <c r="E169" s="134" t="s">
        <v>13</v>
      </c>
      <c r="F169" s="135"/>
      <c r="G169" s="136" t="s">
        <v>760</v>
      </c>
      <c r="H169" s="137" t="s">
        <v>761</v>
      </c>
      <c r="I169" s="145" t="s">
        <v>762</v>
      </c>
      <c r="J169" s="139" t="s">
        <v>186</v>
      </c>
      <c r="K169" s="135"/>
      <c r="L169" s="135"/>
      <c r="M169" s="140" t="s">
        <v>257</v>
      </c>
      <c r="N169" s="141"/>
      <c r="O169" s="142" t="s">
        <v>53</v>
      </c>
      <c r="P169" s="143" t="s">
        <v>763</v>
      </c>
      <c r="Q169" s="144" t="s">
        <v>254</v>
      </c>
      <c r="R169" s="144" t="s">
        <v>764</v>
      </c>
      <c r="S169" s="131"/>
    </row>
    <row r="170" spans="1:19" ht="18" customHeight="1" x14ac:dyDescent="0.3">
      <c r="A170" s="131">
        <v>169</v>
      </c>
      <c r="B170" s="132" t="s">
        <v>250</v>
      </c>
      <c r="C170" s="133" t="s">
        <v>19</v>
      </c>
      <c r="D170" s="133" t="s">
        <v>47</v>
      </c>
      <c r="E170" s="134" t="s">
        <v>13</v>
      </c>
      <c r="F170" s="135"/>
      <c r="G170" s="136" t="s">
        <v>765</v>
      </c>
      <c r="H170" s="137" t="s">
        <v>766</v>
      </c>
      <c r="I170" s="145" t="s">
        <v>767</v>
      </c>
      <c r="J170" s="139"/>
      <c r="K170" s="135"/>
      <c r="L170" s="135"/>
      <c r="M170" s="140" t="s">
        <v>257</v>
      </c>
      <c r="N170" s="141"/>
      <c r="O170" s="142" t="s">
        <v>354</v>
      </c>
      <c r="P170" s="143" t="s">
        <v>73</v>
      </c>
      <c r="Q170" s="144" t="s">
        <v>254</v>
      </c>
      <c r="R170" s="144" t="s">
        <v>768</v>
      </c>
      <c r="S170" s="131"/>
    </row>
    <row r="171" spans="1:19" ht="18" customHeight="1" x14ac:dyDescent="0.3">
      <c r="A171" s="131">
        <v>170</v>
      </c>
      <c r="B171" s="132" t="s">
        <v>250</v>
      </c>
      <c r="C171" s="133" t="s">
        <v>19</v>
      </c>
      <c r="D171" s="133" t="s">
        <v>47</v>
      </c>
      <c r="E171" s="134" t="s">
        <v>13</v>
      </c>
      <c r="F171" s="135"/>
      <c r="G171" s="136" t="s">
        <v>769</v>
      </c>
      <c r="H171" s="137" t="s">
        <v>770</v>
      </c>
      <c r="I171" s="145" t="s">
        <v>145</v>
      </c>
      <c r="J171" s="139" t="s">
        <v>186</v>
      </c>
      <c r="K171" s="135"/>
      <c r="L171" s="135"/>
      <c r="M171" s="140" t="s">
        <v>257</v>
      </c>
      <c r="N171" s="141"/>
      <c r="O171" s="142" t="s">
        <v>354</v>
      </c>
      <c r="P171" s="143" t="s">
        <v>73</v>
      </c>
      <c r="Q171" s="144" t="s">
        <v>254</v>
      </c>
      <c r="R171" s="144" t="s">
        <v>771</v>
      </c>
      <c r="S171" s="131"/>
    </row>
    <row r="172" spans="1:19" ht="18" customHeight="1" x14ac:dyDescent="0.3">
      <c r="A172" s="131">
        <v>171</v>
      </c>
      <c r="B172" s="132" t="s">
        <v>250</v>
      </c>
      <c r="C172" s="133" t="s">
        <v>19</v>
      </c>
      <c r="D172" s="133" t="s">
        <v>47</v>
      </c>
      <c r="E172" s="134" t="s">
        <v>13</v>
      </c>
      <c r="F172" s="135"/>
      <c r="G172" s="136" t="s">
        <v>772</v>
      </c>
      <c r="H172" s="137" t="s">
        <v>773</v>
      </c>
      <c r="I172" s="145" t="s">
        <v>774</v>
      </c>
      <c r="J172" s="139" t="s">
        <v>186</v>
      </c>
      <c r="K172" s="135"/>
      <c r="L172" s="135"/>
      <c r="M172" s="140" t="s">
        <v>257</v>
      </c>
      <c r="N172" s="141"/>
      <c r="O172" s="142" t="s">
        <v>53</v>
      </c>
      <c r="P172" s="143" t="s">
        <v>532</v>
      </c>
      <c r="Q172" s="144" t="s">
        <v>254</v>
      </c>
      <c r="R172" s="144" t="s">
        <v>775</v>
      </c>
      <c r="S172" s="131"/>
    </row>
    <row r="173" spans="1:19" ht="18" customHeight="1" x14ac:dyDescent="0.3">
      <c r="A173" s="131">
        <v>172</v>
      </c>
      <c r="B173" s="132" t="s">
        <v>250</v>
      </c>
      <c r="C173" s="133" t="s">
        <v>19</v>
      </c>
      <c r="D173" s="133" t="s">
        <v>47</v>
      </c>
      <c r="E173" s="134" t="s">
        <v>13</v>
      </c>
      <c r="F173" s="135"/>
      <c r="G173" s="136" t="s">
        <v>776</v>
      </c>
      <c r="H173" s="137"/>
      <c r="I173" s="145" t="s">
        <v>777</v>
      </c>
      <c r="J173" s="139"/>
      <c r="K173" s="135"/>
      <c r="L173" s="135"/>
      <c r="M173" s="140" t="s">
        <v>257</v>
      </c>
      <c r="N173" s="141"/>
      <c r="O173" s="142" t="s">
        <v>53</v>
      </c>
      <c r="P173" s="143" t="s">
        <v>73</v>
      </c>
      <c r="Q173" s="144" t="s">
        <v>254</v>
      </c>
      <c r="R173" s="144" t="s">
        <v>778</v>
      </c>
      <c r="S173" s="131"/>
    </row>
    <row r="174" spans="1:19" ht="18" hidden="1" customHeight="1" x14ac:dyDescent="0.3">
      <c r="A174" s="131">
        <v>173</v>
      </c>
      <c r="B174" s="132" t="s">
        <v>250</v>
      </c>
      <c r="C174" s="133" t="s">
        <v>19</v>
      </c>
      <c r="D174" s="133" t="s">
        <v>47</v>
      </c>
      <c r="E174" s="134" t="s">
        <v>14</v>
      </c>
      <c r="F174" s="135"/>
      <c r="G174" s="136" t="s">
        <v>779</v>
      </c>
      <c r="H174" s="137" t="s">
        <v>780</v>
      </c>
      <c r="I174" s="138" t="s">
        <v>781</v>
      </c>
      <c r="J174" s="139"/>
      <c r="K174" s="135"/>
      <c r="L174" s="135"/>
      <c r="M174" s="148" t="s">
        <v>257</v>
      </c>
      <c r="N174" s="141"/>
      <c r="O174" s="142"/>
      <c r="P174" s="143" t="s">
        <v>546</v>
      </c>
      <c r="Q174" s="144" t="s">
        <v>782</v>
      </c>
      <c r="R174" s="144" t="s">
        <v>783</v>
      </c>
      <c r="S174" s="131"/>
    </row>
    <row r="175" spans="1:19" ht="18" hidden="1" customHeight="1" x14ac:dyDescent="0.3">
      <c r="A175" s="131">
        <v>174</v>
      </c>
      <c r="B175" s="132" t="s">
        <v>250</v>
      </c>
      <c r="C175" s="133" t="s">
        <v>19</v>
      </c>
      <c r="D175" s="133" t="s">
        <v>47</v>
      </c>
      <c r="E175" s="134" t="s">
        <v>14</v>
      </c>
      <c r="F175" s="135"/>
      <c r="G175" s="136" t="s">
        <v>784</v>
      </c>
      <c r="H175" s="137" t="s">
        <v>785</v>
      </c>
      <c r="I175" s="138" t="s">
        <v>786</v>
      </c>
      <c r="J175" s="139" t="s">
        <v>186</v>
      </c>
      <c r="K175" s="135"/>
      <c r="L175" s="135"/>
      <c r="M175" s="148" t="s">
        <v>257</v>
      </c>
      <c r="N175" s="141"/>
      <c r="O175" s="142"/>
      <c r="P175" s="143" t="s">
        <v>73</v>
      </c>
      <c r="Q175" s="144" t="s">
        <v>298</v>
      </c>
      <c r="R175" s="144" t="s">
        <v>787</v>
      </c>
      <c r="S175" s="131"/>
    </row>
    <row r="176" spans="1:19" ht="18" hidden="1" customHeight="1" x14ac:dyDescent="0.3">
      <c r="A176" s="131">
        <v>175</v>
      </c>
      <c r="B176" s="132" t="s">
        <v>250</v>
      </c>
      <c r="C176" s="133" t="s">
        <v>19</v>
      </c>
      <c r="D176" s="133" t="s">
        <v>47</v>
      </c>
      <c r="E176" s="134" t="s">
        <v>14</v>
      </c>
      <c r="F176" s="135"/>
      <c r="G176" s="136" t="s">
        <v>788</v>
      </c>
      <c r="H176" s="137" t="s">
        <v>789</v>
      </c>
      <c r="I176" s="138" t="s">
        <v>77</v>
      </c>
      <c r="J176" s="139"/>
      <c r="K176" s="135"/>
      <c r="L176" s="135"/>
      <c r="M176" s="148" t="s">
        <v>257</v>
      </c>
      <c r="N176" s="141"/>
      <c r="O176" s="142"/>
      <c r="P176" s="143" t="s">
        <v>790</v>
      </c>
      <c r="Q176" s="144" t="s">
        <v>298</v>
      </c>
      <c r="R176" s="144" t="s">
        <v>791</v>
      </c>
      <c r="S176" s="131"/>
    </row>
    <row r="177" spans="1:19" ht="18" hidden="1" customHeight="1" x14ac:dyDescent="0.3">
      <c r="A177" s="131">
        <v>176</v>
      </c>
      <c r="B177" s="132" t="s">
        <v>250</v>
      </c>
      <c r="C177" s="133" t="s">
        <v>19</v>
      </c>
      <c r="D177" s="133" t="s">
        <v>47</v>
      </c>
      <c r="E177" s="134" t="s">
        <v>14</v>
      </c>
      <c r="F177" s="135"/>
      <c r="G177" s="136" t="s">
        <v>792</v>
      </c>
      <c r="H177" s="137" t="s">
        <v>793</v>
      </c>
      <c r="I177" s="138" t="s">
        <v>794</v>
      </c>
      <c r="J177" s="139" t="s">
        <v>186</v>
      </c>
      <c r="K177" s="135"/>
      <c r="L177" s="135"/>
      <c r="M177" s="148" t="s">
        <v>257</v>
      </c>
      <c r="N177" s="141"/>
      <c r="O177" s="142"/>
      <c r="P177" s="143" t="s">
        <v>291</v>
      </c>
      <c r="Q177" s="144" t="s">
        <v>298</v>
      </c>
      <c r="R177" s="144" t="s">
        <v>795</v>
      </c>
      <c r="S177" s="131"/>
    </row>
    <row r="178" spans="1:19" ht="18" hidden="1" customHeight="1" x14ac:dyDescent="0.3">
      <c r="A178" s="131">
        <v>177</v>
      </c>
      <c r="B178" s="132" t="s">
        <v>250</v>
      </c>
      <c r="C178" s="133" t="s">
        <v>19</v>
      </c>
      <c r="D178" s="133" t="s">
        <v>47</v>
      </c>
      <c r="E178" s="134" t="s">
        <v>14</v>
      </c>
      <c r="F178" s="135"/>
      <c r="G178" s="136" t="s">
        <v>796</v>
      </c>
      <c r="H178" s="137" t="s">
        <v>797</v>
      </c>
      <c r="I178" s="138" t="s">
        <v>798</v>
      </c>
      <c r="J178" s="139"/>
      <c r="K178" s="135"/>
      <c r="L178" s="135"/>
      <c r="M178" s="148" t="s">
        <v>257</v>
      </c>
      <c r="N178" s="141"/>
      <c r="O178" s="142"/>
      <c r="P178" s="143" t="s">
        <v>291</v>
      </c>
      <c r="Q178" s="144" t="s">
        <v>298</v>
      </c>
      <c r="R178" s="144" t="s">
        <v>799</v>
      </c>
      <c r="S178" s="131"/>
    </row>
    <row r="179" spans="1:19" ht="18" hidden="1" customHeight="1" x14ac:dyDescent="0.3">
      <c r="A179" s="131">
        <v>178</v>
      </c>
      <c r="B179" s="132" t="s">
        <v>250</v>
      </c>
      <c r="C179" s="133" t="s">
        <v>19</v>
      </c>
      <c r="D179" s="133" t="s">
        <v>47</v>
      </c>
      <c r="E179" s="134" t="s">
        <v>14</v>
      </c>
      <c r="F179" s="135"/>
      <c r="G179" s="136" t="s">
        <v>800</v>
      </c>
      <c r="H179" s="137" t="s">
        <v>801</v>
      </c>
      <c r="I179" s="138" t="s">
        <v>802</v>
      </c>
      <c r="J179" s="139"/>
      <c r="K179" s="135"/>
      <c r="L179" s="135"/>
      <c r="M179" s="148" t="s">
        <v>257</v>
      </c>
      <c r="N179" s="141"/>
      <c r="O179" s="142"/>
      <c r="P179" s="143" t="s">
        <v>790</v>
      </c>
      <c r="Q179" s="144" t="s">
        <v>298</v>
      </c>
      <c r="R179" s="144" t="s">
        <v>803</v>
      </c>
      <c r="S179" s="131"/>
    </row>
    <row r="180" spans="1:19" ht="18" hidden="1" customHeight="1" x14ac:dyDescent="0.3">
      <c r="A180" s="131">
        <v>179</v>
      </c>
      <c r="B180" s="132" t="s">
        <v>250</v>
      </c>
      <c r="C180" s="133" t="s">
        <v>19</v>
      </c>
      <c r="D180" s="133" t="s">
        <v>47</v>
      </c>
      <c r="E180" s="134" t="s">
        <v>14</v>
      </c>
      <c r="F180" s="135"/>
      <c r="G180" s="136" t="s">
        <v>804</v>
      </c>
      <c r="H180" s="137" t="s">
        <v>805</v>
      </c>
      <c r="I180" s="138" t="s">
        <v>806</v>
      </c>
      <c r="J180" s="139"/>
      <c r="K180" s="135"/>
      <c r="L180" s="135"/>
      <c r="M180" s="148" t="s">
        <v>257</v>
      </c>
      <c r="N180" s="141"/>
      <c r="O180" s="142"/>
      <c r="P180" s="143" t="s">
        <v>333</v>
      </c>
      <c r="Q180" s="144" t="s">
        <v>298</v>
      </c>
      <c r="R180" s="144" t="s">
        <v>807</v>
      </c>
      <c r="S180" s="131"/>
    </row>
    <row r="181" spans="1:19" ht="18" hidden="1" customHeight="1" x14ac:dyDescent="0.3">
      <c r="A181" s="131">
        <v>180</v>
      </c>
      <c r="B181" s="132" t="s">
        <v>250</v>
      </c>
      <c r="C181" s="133" t="s">
        <v>19</v>
      </c>
      <c r="D181" s="133" t="s">
        <v>47</v>
      </c>
      <c r="E181" s="134" t="s">
        <v>14</v>
      </c>
      <c r="F181" s="135"/>
      <c r="G181" s="136" t="s">
        <v>808</v>
      </c>
      <c r="H181" s="137"/>
      <c r="I181" s="138" t="s">
        <v>809</v>
      </c>
      <c r="J181" s="139"/>
      <c r="K181" s="135"/>
      <c r="L181" s="135"/>
      <c r="M181" s="148" t="s">
        <v>257</v>
      </c>
      <c r="N181" s="141"/>
      <c r="O181" s="142"/>
      <c r="P181" s="143" t="s">
        <v>393</v>
      </c>
      <c r="Q181" s="144" t="s">
        <v>298</v>
      </c>
      <c r="R181" s="144"/>
      <c r="S181" s="131"/>
    </row>
    <row r="182" spans="1:19" ht="18" hidden="1" customHeight="1" x14ac:dyDescent="0.3">
      <c r="A182" s="131">
        <v>181</v>
      </c>
      <c r="B182" s="132" t="s">
        <v>250</v>
      </c>
      <c r="C182" s="133" t="s">
        <v>19</v>
      </c>
      <c r="D182" s="133" t="s">
        <v>47</v>
      </c>
      <c r="E182" s="134" t="s">
        <v>14</v>
      </c>
      <c r="F182" s="135"/>
      <c r="G182" s="136" t="s">
        <v>810</v>
      </c>
      <c r="H182" s="137"/>
      <c r="I182" s="138" t="s">
        <v>811</v>
      </c>
      <c r="J182" s="139"/>
      <c r="K182" s="135"/>
      <c r="L182" s="135"/>
      <c r="M182" s="148" t="s">
        <v>257</v>
      </c>
      <c r="N182" s="141"/>
      <c r="O182" s="142"/>
      <c r="P182" s="143" t="s">
        <v>790</v>
      </c>
      <c r="Q182" s="144" t="s">
        <v>298</v>
      </c>
      <c r="R182" s="144" t="s">
        <v>812</v>
      </c>
      <c r="S182" s="131"/>
    </row>
    <row r="183" spans="1:19" ht="18" hidden="1" customHeight="1" x14ac:dyDescent="0.3">
      <c r="A183" s="131">
        <v>182</v>
      </c>
      <c r="B183" s="132" t="s">
        <v>250</v>
      </c>
      <c r="C183" s="133" t="s">
        <v>19</v>
      </c>
      <c r="D183" s="133" t="s">
        <v>47</v>
      </c>
      <c r="E183" s="134" t="s">
        <v>14</v>
      </c>
      <c r="F183" s="135"/>
      <c r="G183" s="136" t="s">
        <v>813</v>
      </c>
      <c r="H183" s="137" t="s">
        <v>814</v>
      </c>
      <c r="I183" s="138" t="s">
        <v>815</v>
      </c>
      <c r="J183" s="139"/>
      <c r="K183" s="135"/>
      <c r="L183" s="135"/>
      <c r="M183" s="148" t="s">
        <v>257</v>
      </c>
      <c r="N183" s="141"/>
      <c r="O183" s="142"/>
      <c r="P183" s="143" t="s">
        <v>73</v>
      </c>
      <c r="Q183" s="144" t="s">
        <v>816</v>
      </c>
      <c r="R183" s="144" t="s">
        <v>817</v>
      </c>
      <c r="S183" s="131"/>
    </row>
    <row r="184" spans="1:19" ht="18" hidden="1" customHeight="1" x14ac:dyDescent="0.3">
      <c r="A184" s="131">
        <v>183</v>
      </c>
      <c r="B184" s="132" t="s">
        <v>250</v>
      </c>
      <c r="C184" s="133" t="s">
        <v>19</v>
      </c>
      <c r="D184" s="133" t="s">
        <v>47</v>
      </c>
      <c r="E184" s="134" t="s">
        <v>14</v>
      </c>
      <c r="F184" s="135"/>
      <c r="G184" s="136" t="s">
        <v>818</v>
      </c>
      <c r="H184" s="137" t="s">
        <v>819</v>
      </c>
      <c r="I184" s="138" t="s">
        <v>820</v>
      </c>
      <c r="J184" s="139"/>
      <c r="K184" s="135"/>
      <c r="L184" s="135"/>
      <c r="M184" s="148" t="s">
        <v>257</v>
      </c>
      <c r="N184" s="141"/>
      <c r="O184" s="142"/>
      <c r="P184" s="143" t="s">
        <v>73</v>
      </c>
      <c r="Q184" s="144" t="s">
        <v>298</v>
      </c>
      <c r="R184" s="144" t="s">
        <v>821</v>
      </c>
      <c r="S184" s="131"/>
    </row>
    <row r="185" spans="1:19" ht="18" hidden="1" customHeight="1" x14ac:dyDescent="0.3">
      <c r="A185" s="131">
        <v>184</v>
      </c>
      <c r="B185" s="132" t="s">
        <v>250</v>
      </c>
      <c r="C185" s="133" t="s">
        <v>19</v>
      </c>
      <c r="D185" s="133" t="s">
        <v>47</v>
      </c>
      <c r="E185" s="134" t="s">
        <v>14</v>
      </c>
      <c r="F185" s="135"/>
      <c r="G185" s="136" t="s">
        <v>822</v>
      </c>
      <c r="H185" s="137" t="s">
        <v>171</v>
      </c>
      <c r="I185" s="138" t="s">
        <v>413</v>
      </c>
      <c r="J185" s="139"/>
      <c r="K185" s="135"/>
      <c r="L185" s="135"/>
      <c r="M185" s="148" t="s">
        <v>257</v>
      </c>
      <c r="N185" s="141"/>
      <c r="O185" s="142"/>
      <c r="P185" s="143" t="s">
        <v>73</v>
      </c>
      <c r="Q185" s="144" t="s">
        <v>298</v>
      </c>
      <c r="R185" s="144" t="s">
        <v>823</v>
      </c>
      <c r="S185" s="131"/>
    </row>
    <row r="186" spans="1:19" ht="18" hidden="1" customHeight="1" x14ac:dyDescent="0.3">
      <c r="A186" s="131">
        <v>185</v>
      </c>
      <c r="B186" s="132" t="s">
        <v>250</v>
      </c>
      <c r="C186" s="133" t="s">
        <v>19</v>
      </c>
      <c r="D186" s="133" t="s">
        <v>47</v>
      </c>
      <c r="E186" s="134" t="s">
        <v>14</v>
      </c>
      <c r="F186" s="135"/>
      <c r="G186" s="136" t="s">
        <v>824</v>
      </c>
      <c r="H186" s="137" t="s">
        <v>825</v>
      </c>
      <c r="I186" s="138" t="s">
        <v>750</v>
      </c>
      <c r="J186" s="139"/>
      <c r="K186" s="135"/>
      <c r="L186" s="135"/>
      <c r="M186" s="148" t="s">
        <v>257</v>
      </c>
      <c r="N186" s="141"/>
      <c r="O186" s="142"/>
      <c r="P186" s="143" t="s">
        <v>73</v>
      </c>
      <c r="Q186" s="144" t="s">
        <v>298</v>
      </c>
      <c r="R186" s="144" t="s">
        <v>826</v>
      </c>
      <c r="S186" s="131"/>
    </row>
    <row r="187" spans="1:19" ht="18" hidden="1" customHeight="1" x14ac:dyDescent="0.3">
      <c r="A187" s="131">
        <v>186</v>
      </c>
      <c r="B187" s="132" t="s">
        <v>250</v>
      </c>
      <c r="C187" s="133" t="s">
        <v>19</v>
      </c>
      <c r="D187" s="133" t="s">
        <v>47</v>
      </c>
      <c r="E187" s="134" t="s">
        <v>14</v>
      </c>
      <c r="F187" s="135"/>
      <c r="G187" s="136" t="s">
        <v>827</v>
      </c>
      <c r="H187" s="137" t="s">
        <v>828</v>
      </c>
      <c r="I187" s="138" t="s">
        <v>829</v>
      </c>
      <c r="J187" s="139" t="s">
        <v>186</v>
      </c>
      <c r="K187" s="135"/>
      <c r="L187" s="135"/>
      <c r="M187" s="148" t="s">
        <v>257</v>
      </c>
      <c r="N187" s="141"/>
      <c r="O187" s="142"/>
      <c r="P187" s="143" t="s">
        <v>73</v>
      </c>
      <c r="Q187" s="144" t="s">
        <v>298</v>
      </c>
      <c r="R187" s="144" t="s">
        <v>830</v>
      </c>
      <c r="S187" s="131"/>
    </row>
    <row r="188" spans="1:19" ht="18" hidden="1" customHeight="1" x14ac:dyDescent="0.3">
      <c r="A188" s="131">
        <v>187</v>
      </c>
      <c r="B188" s="132" t="s">
        <v>250</v>
      </c>
      <c r="C188" s="133" t="s">
        <v>19</v>
      </c>
      <c r="D188" s="133" t="s">
        <v>47</v>
      </c>
      <c r="E188" s="134" t="s">
        <v>14</v>
      </c>
      <c r="F188" s="135"/>
      <c r="G188" s="136" t="s">
        <v>831</v>
      </c>
      <c r="H188" s="137" t="s">
        <v>832</v>
      </c>
      <c r="I188" s="138" t="s">
        <v>833</v>
      </c>
      <c r="J188" s="139"/>
      <c r="K188" s="135"/>
      <c r="L188" s="135"/>
      <c r="M188" s="148" t="s">
        <v>257</v>
      </c>
      <c r="N188" s="141"/>
      <c r="O188" s="142"/>
      <c r="P188" s="143" t="s">
        <v>73</v>
      </c>
      <c r="Q188" s="144" t="s">
        <v>298</v>
      </c>
      <c r="R188" s="144" t="s">
        <v>834</v>
      </c>
      <c r="S188" s="131"/>
    </row>
    <row r="189" spans="1:19" ht="18" hidden="1" customHeight="1" x14ac:dyDescent="0.3">
      <c r="A189" s="131">
        <v>188</v>
      </c>
      <c r="B189" s="132" t="s">
        <v>250</v>
      </c>
      <c r="C189" s="133" t="s">
        <v>19</v>
      </c>
      <c r="D189" s="133" t="s">
        <v>47</v>
      </c>
      <c r="E189" s="134" t="s">
        <v>14</v>
      </c>
      <c r="F189" s="135"/>
      <c r="G189" s="136" t="s">
        <v>835</v>
      </c>
      <c r="H189" s="137" t="s">
        <v>836</v>
      </c>
      <c r="I189" s="138" t="s">
        <v>837</v>
      </c>
      <c r="J189" s="139" t="s">
        <v>186</v>
      </c>
      <c r="K189" s="135"/>
      <c r="L189" s="135"/>
      <c r="M189" s="148" t="s">
        <v>257</v>
      </c>
      <c r="N189" s="141"/>
      <c r="O189" s="142"/>
      <c r="P189" s="143" t="s">
        <v>333</v>
      </c>
      <c r="Q189" s="144" t="s">
        <v>298</v>
      </c>
      <c r="R189" s="144" t="s">
        <v>838</v>
      </c>
      <c r="S189" s="131"/>
    </row>
    <row r="190" spans="1:19" ht="18" hidden="1" customHeight="1" x14ac:dyDescent="0.3">
      <c r="A190" s="131">
        <v>189</v>
      </c>
      <c r="B190" s="132" t="s">
        <v>250</v>
      </c>
      <c r="C190" s="133" t="s">
        <v>19</v>
      </c>
      <c r="D190" s="133" t="s">
        <v>47</v>
      </c>
      <c r="E190" s="134" t="s">
        <v>14</v>
      </c>
      <c r="F190" s="135"/>
      <c r="G190" s="136" t="s">
        <v>839</v>
      </c>
      <c r="H190" s="137" t="s">
        <v>840</v>
      </c>
      <c r="I190" s="138" t="s">
        <v>590</v>
      </c>
      <c r="J190" s="139" t="s">
        <v>186</v>
      </c>
      <c r="K190" s="135"/>
      <c r="L190" s="135"/>
      <c r="M190" s="148" t="s">
        <v>257</v>
      </c>
      <c r="N190" s="141"/>
      <c r="O190" s="142"/>
      <c r="P190" s="143" t="s">
        <v>73</v>
      </c>
      <c r="Q190" s="144" t="s">
        <v>841</v>
      </c>
      <c r="R190" s="144" t="s">
        <v>842</v>
      </c>
      <c r="S190" s="131"/>
    </row>
    <row r="191" spans="1:19" ht="18" hidden="1" customHeight="1" x14ac:dyDescent="0.3">
      <c r="A191" s="131">
        <v>190</v>
      </c>
      <c r="B191" s="132" t="s">
        <v>250</v>
      </c>
      <c r="C191" s="133" t="s">
        <v>19</v>
      </c>
      <c r="D191" s="133" t="s">
        <v>47</v>
      </c>
      <c r="E191" s="134" t="s">
        <v>14</v>
      </c>
      <c r="F191" s="135"/>
      <c r="G191" s="136" t="s">
        <v>843</v>
      </c>
      <c r="H191" s="137" t="s">
        <v>844</v>
      </c>
      <c r="I191" s="138" t="s">
        <v>845</v>
      </c>
      <c r="J191" s="139" t="s">
        <v>186</v>
      </c>
      <c r="K191" s="135"/>
      <c r="L191" s="135"/>
      <c r="M191" s="148" t="s">
        <v>257</v>
      </c>
      <c r="N191" s="141"/>
      <c r="O191" s="142"/>
      <c r="P191" s="143" t="s">
        <v>846</v>
      </c>
      <c r="Q191" s="144" t="s">
        <v>298</v>
      </c>
      <c r="R191" s="144" t="s">
        <v>847</v>
      </c>
      <c r="S191" s="131"/>
    </row>
    <row r="192" spans="1:19" ht="18" hidden="1" customHeight="1" x14ac:dyDescent="0.3">
      <c r="A192" s="131">
        <v>191</v>
      </c>
      <c r="B192" s="132" t="s">
        <v>250</v>
      </c>
      <c r="C192" s="133" t="s">
        <v>19</v>
      </c>
      <c r="D192" s="133" t="s">
        <v>47</v>
      </c>
      <c r="E192" s="134" t="s">
        <v>14</v>
      </c>
      <c r="F192" s="135"/>
      <c r="G192" s="136" t="s">
        <v>848</v>
      </c>
      <c r="H192" s="137" t="s">
        <v>849</v>
      </c>
      <c r="I192" s="138" t="s">
        <v>850</v>
      </c>
      <c r="J192" s="139"/>
      <c r="K192" s="135"/>
      <c r="L192" s="135"/>
      <c r="M192" s="148" t="s">
        <v>257</v>
      </c>
      <c r="N192" s="141"/>
      <c r="O192" s="142"/>
      <c r="P192" s="143" t="s">
        <v>73</v>
      </c>
      <c r="Q192" s="144" t="s">
        <v>298</v>
      </c>
      <c r="R192" s="144" t="s">
        <v>851</v>
      </c>
      <c r="S192" s="131"/>
    </row>
    <row r="193" spans="1:19" ht="18" hidden="1" customHeight="1" x14ac:dyDescent="0.3">
      <c r="A193" s="131">
        <v>192</v>
      </c>
      <c r="B193" s="132" t="s">
        <v>250</v>
      </c>
      <c r="C193" s="133" t="s">
        <v>19</v>
      </c>
      <c r="D193" s="133" t="s">
        <v>47</v>
      </c>
      <c r="E193" s="134" t="s">
        <v>14</v>
      </c>
      <c r="F193" s="135"/>
      <c r="G193" s="136" t="s">
        <v>852</v>
      </c>
      <c r="H193" s="137" t="s">
        <v>853</v>
      </c>
      <c r="I193" s="138" t="s">
        <v>854</v>
      </c>
      <c r="J193" s="139"/>
      <c r="K193" s="135"/>
      <c r="L193" s="135"/>
      <c r="M193" s="148" t="s">
        <v>257</v>
      </c>
      <c r="N193" s="141"/>
      <c r="O193" s="142"/>
      <c r="P193" s="143" t="s">
        <v>73</v>
      </c>
      <c r="Q193" s="144" t="s">
        <v>298</v>
      </c>
      <c r="R193" s="144" t="s">
        <v>855</v>
      </c>
      <c r="S193" s="131"/>
    </row>
    <row r="194" spans="1:19" ht="18" hidden="1" customHeight="1" x14ac:dyDescent="0.3">
      <c r="A194" s="131">
        <v>193</v>
      </c>
      <c r="B194" s="132" t="s">
        <v>250</v>
      </c>
      <c r="C194" s="133" t="s">
        <v>19</v>
      </c>
      <c r="D194" s="133" t="s">
        <v>47</v>
      </c>
      <c r="E194" s="134" t="s">
        <v>14</v>
      </c>
      <c r="F194" s="135"/>
      <c r="G194" s="136" t="s">
        <v>856</v>
      </c>
      <c r="H194" s="137" t="s">
        <v>857</v>
      </c>
      <c r="I194" s="138" t="s">
        <v>858</v>
      </c>
      <c r="J194" s="139"/>
      <c r="K194" s="135"/>
      <c r="L194" s="135"/>
      <c r="M194" s="148" t="s">
        <v>257</v>
      </c>
      <c r="N194" s="141"/>
      <c r="O194" s="142"/>
      <c r="P194" s="143" t="s">
        <v>393</v>
      </c>
      <c r="Q194" s="144" t="s">
        <v>298</v>
      </c>
      <c r="R194" s="144" t="s">
        <v>859</v>
      </c>
      <c r="S194" s="131"/>
    </row>
    <row r="195" spans="1:19" ht="18" hidden="1" customHeight="1" x14ac:dyDescent="0.3">
      <c r="A195" s="131">
        <v>194</v>
      </c>
      <c r="B195" s="132" t="s">
        <v>250</v>
      </c>
      <c r="C195" s="133" t="s">
        <v>19</v>
      </c>
      <c r="D195" s="133" t="s">
        <v>47</v>
      </c>
      <c r="E195" s="134" t="s">
        <v>14</v>
      </c>
      <c r="F195" s="135"/>
      <c r="G195" s="136" t="s">
        <v>860</v>
      </c>
      <c r="H195" s="137" t="s">
        <v>861</v>
      </c>
      <c r="I195" s="138" t="s">
        <v>862</v>
      </c>
      <c r="J195" s="139"/>
      <c r="K195" s="135"/>
      <c r="L195" s="135"/>
      <c r="M195" s="148" t="s">
        <v>257</v>
      </c>
      <c r="N195" s="141"/>
      <c r="O195" s="142"/>
      <c r="P195" s="143" t="s">
        <v>73</v>
      </c>
      <c r="Q195" s="144" t="s">
        <v>298</v>
      </c>
      <c r="R195" s="144" t="s">
        <v>863</v>
      </c>
      <c r="S195" s="131"/>
    </row>
    <row r="196" spans="1:19" ht="18" hidden="1" customHeight="1" x14ac:dyDescent="0.3">
      <c r="A196" s="131">
        <v>195</v>
      </c>
      <c r="B196" s="132" t="s">
        <v>250</v>
      </c>
      <c r="C196" s="133" t="s">
        <v>19</v>
      </c>
      <c r="D196" s="133" t="s">
        <v>47</v>
      </c>
      <c r="E196" s="134" t="s">
        <v>14</v>
      </c>
      <c r="F196" s="135"/>
      <c r="G196" s="136" t="s">
        <v>864</v>
      </c>
      <c r="H196" s="137" t="s">
        <v>865</v>
      </c>
      <c r="I196" s="138" t="s">
        <v>171</v>
      </c>
      <c r="J196" s="139"/>
      <c r="K196" s="135"/>
      <c r="L196" s="135"/>
      <c r="M196" s="148" t="s">
        <v>257</v>
      </c>
      <c r="N196" s="141"/>
      <c r="O196" s="142"/>
      <c r="P196" s="143" t="s">
        <v>866</v>
      </c>
      <c r="Q196" s="144" t="s">
        <v>298</v>
      </c>
      <c r="R196" s="144" t="s">
        <v>867</v>
      </c>
      <c r="S196" s="131"/>
    </row>
    <row r="197" spans="1:19" ht="18" hidden="1" customHeight="1" x14ac:dyDescent="0.3">
      <c r="A197" s="131">
        <v>196</v>
      </c>
      <c r="B197" s="132" t="s">
        <v>250</v>
      </c>
      <c r="C197" s="133" t="s">
        <v>19</v>
      </c>
      <c r="D197" s="133" t="s">
        <v>47</v>
      </c>
      <c r="E197" s="134" t="s">
        <v>14</v>
      </c>
      <c r="F197" s="135"/>
      <c r="G197" s="136" t="s">
        <v>868</v>
      </c>
      <c r="H197" s="137" t="s">
        <v>869</v>
      </c>
      <c r="I197" s="138" t="s">
        <v>870</v>
      </c>
      <c r="J197" s="139"/>
      <c r="K197" s="135"/>
      <c r="L197" s="135"/>
      <c r="M197" s="148" t="s">
        <v>257</v>
      </c>
      <c r="N197" s="141"/>
      <c r="O197" s="142"/>
      <c r="P197" s="143" t="s">
        <v>871</v>
      </c>
      <c r="Q197" s="144" t="s">
        <v>298</v>
      </c>
      <c r="R197" s="144" t="s">
        <v>872</v>
      </c>
      <c r="S197" s="131"/>
    </row>
    <row r="198" spans="1:19" ht="18" hidden="1" customHeight="1" x14ac:dyDescent="0.3">
      <c r="A198" s="131">
        <v>197</v>
      </c>
      <c r="B198" s="132" t="s">
        <v>250</v>
      </c>
      <c r="C198" s="133" t="s">
        <v>19</v>
      </c>
      <c r="D198" s="133" t="s">
        <v>47</v>
      </c>
      <c r="E198" s="134" t="s">
        <v>14</v>
      </c>
      <c r="F198" s="135"/>
      <c r="G198" s="136" t="s">
        <v>873</v>
      </c>
      <c r="H198" s="137" t="s">
        <v>874</v>
      </c>
      <c r="I198" s="138" t="s">
        <v>875</v>
      </c>
      <c r="J198" s="139"/>
      <c r="K198" s="135"/>
      <c r="L198" s="135"/>
      <c r="M198" s="148" t="s">
        <v>257</v>
      </c>
      <c r="N198" s="141"/>
      <c r="O198" s="142"/>
      <c r="P198" s="143" t="s">
        <v>876</v>
      </c>
      <c r="Q198" s="144" t="s">
        <v>877</v>
      </c>
      <c r="R198" s="144" t="s">
        <v>878</v>
      </c>
      <c r="S198" s="131"/>
    </row>
    <row r="199" spans="1:19" ht="18" hidden="1" customHeight="1" x14ac:dyDescent="0.3">
      <c r="A199" s="131">
        <v>198</v>
      </c>
      <c r="B199" s="132" t="s">
        <v>250</v>
      </c>
      <c r="C199" s="133" t="s">
        <v>19</v>
      </c>
      <c r="D199" s="133" t="s">
        <v>47</v>
      </c>
      <c r="E199" s="134" t="s">
        <v>14</v>
      </c>
      <c r="F199" s="135"/>
      <c r="G199" s="136" t="s">
        <v>879</v>
      </c>
      <c r="H199" s="137" t="s">
        <v>880</v>
      </c>
      <c r="I199" s="138" t="s">
        <v>881</v>
      </c>
      <c r="J199" s="139"/>
      <c r="K199" s="135"/>
      <c r="L199" s="135"/>
      <c r="M199" s="148" t="s">
        <v>257</v>
      </c>
      <c r="N199" s="141"/>
      <c r="O199" s="142"/>
      <c r="P199" s="143" t="s">
        <v>291</v>
      </c>
      <c r="Q199" s="144" t="s">
        <v>298</v>
      </c>
      <c r="R199" s="144" t="s">
        <v>882</v>
      </c>
      <c r="S199" s="131"/>
    </row>
    <row r="200" spans="1:19" ht="18" hidden="1" customHeight="1" x14ac:dyDescent="0.3">
      <c r="A200" s="131">
        <v>199</v>
      </c>
      <c r="B200" s="132" t="s">
        <v>250</v>
      </c>
      <c r="C200" s="133" t="s">
        <v>19</v>
      </c>
      <c r="D200" s="133" t="s">
        <v>47</v>
      </c>
      <c r="E200" s="134" t="s">
        <v>14</v>
      </c>
      <c r="F200" s="135"/>
      <c r="G200" s="136" t="s">
        <v>883</v>
      </c>
      <c r="H200" s="137" t="s">
        <v>884</v>
      </c>
      <c r="I200" s="138" t="s">
        <v>717</v>
      </c>
      <c r="J200" s="139"/>
      <c r="K200" s="135"/>
      <c r="L200" s="135"/>
      <c r="M200" s="148" t="s">
        <v>257</v>
      </c>
      <c r="N200" s="141"/>
      <c r="O200" s="142"/>
      <c r="P200" s="143" t="s">
        <v>333</v>
      </c>
      <c r="Q200" s="144" t="s">
        <v>298</v>
      </c>
      <c r="R200" s="144"/>
      <c r="S200" s="131"/>
    </row>
    <row r="201" spans="1:19" ht="18" hidden="1" customHeight="1" x14ac:dyDescent="0.3">
      <c r="A201" s="131">
        <v>200</v>
      </c>
      <c r="B201" s="132" t="s">
        <v>250</v>
      </c>
      <c r="C201" s="133" t="s">
        <v>19</v>
      </c>
      <c r="D201" s="133" t="s">
        <v>47</v>
      </c>
      <c r="E201" s="134" t="s">
        <v>14</v>
      </c>
      <c r="F201" s="135"/>
      <c r="G201" s="136" t="s">
        <v>885</v>
      </c>
      <c r="H201" s="137" t="s">
        <v>886</v>
      </c>
      <c r="I201" s="138" t="s">
        <v>811</v>
      </c>
      <c r="J201" s="139" t="s">
        <v>186</v>
      </c>
      <c r="K201" s="135"/>
      <c r="L201" s="135"/>
      <c r="M201" s="148" t="s">
        <v>257</v>
      </c>
      <c r="N201" s="141"/>
      <c r="O201" s="142"/>
      <c r="P201" s="143" t="s">
        <v>73</v>
      </c>
      <c r="Q201" s="144" t="s">
        <v>298</v>
      </c>
      <c r="R201" s="144" t="s">
        <v>887</v>
      </c>
      <c r="S201" s="131"/>
    </row>
    <row r="202" spans="1:19" ht="18" hidden="1" customHeight="1" x14ac:dyDescent="0.3">
      <c r="A202" s="131">
        <v>201</v>
      </c>
      <c r="B202" s="132" t="s">
        <v>250</v>
      </c>
      <c r="C202" s="133" t="s">
        <v>19</v>
      </c>
      <c r="D202" s="133" t="s">
        <v>47</v>
      </c>
      <c r="E202" s="134" t="s">
        <v>14</v>
      </c>
      <c r="F202" s="135"/>
      <c r="G202" s="136" t="s">
        <v>888</v>
      </c>
      <c r="H202" s="137" t="s">
        <v>889</v>
      </c>
      <c r="I202" s="138" t="s">
        <v>890</v>
      </c>
      <c r="J202" s="139"/>
      <c r="K202" s="135"/>
      <c r="L202" s="135"/>
      <c r="M202" s="148" t="s">
        <v>257</v>
      </c>
      <c r="N202" s="141"/>
      <c r="O202" s="142"/>
      <c r="P202" s="143" t="s">
        <v>73</v>
      </c>
      <c r="Q202" s="144" t="s">
        <v>298</v>
      </c>
      <c r="R202" s="144"/>
      <c r="S202" s="131"/>
    </row>
    <row r="203" spans="1:19" ht="18" hidden="1" customHeight="1" x14ac:dyDescent="0.3">
      <c r="A203" s="131">
        <v>202</v>
      </c>
      <c r="B203" s="132" t="s">
        <v>250</v>
      </c>
      <c r="C203" s="133" t="s">
        <v>19</v>
      </c>
      <c r="D203" s="133" t="s">
        <v>47</v>
      </c>
      <c r="E203" s="134" t="s">
        <v>14</v>
      </c>
      <c r="F203" s="135"/>
      <c r="G203" s="136" t="s">
        <v>891</v>
      </c>
      <c r="H203" s="137" t="s">
        <v>892</v>
      </c>
      <c r="I203" s="138" t="s">
        <v>893</v>
      </c>
      <c r="J203" s="139"/>
      <c r="K203" s="135"/>
      <c r="L203" s="135"/>
      <c r="M203" s="148" t="s">
        <v>257</v>
      </c>
      <c r="N203" s="141"/>
      <c r="O203" s="142"/>
      <c r="P203" s="143" t="s">
        <v>894</v>
      </c>
      <c r="Q203" s="144" t="s">
        <v>298</v>
      </c>
      <c r="R203" s="144" t="s">
        <v>895</v>
      </c>
      <c r="S203" s="131"/>
    </row>
    <row r="204" spans="1:19" ht="18" hidden="1" customHeight="1" x14ac:dyDescent="0.3">
      <c r="A204" s="131">
        <v>203</v>
      </c>
      <c r="B204" s="132" t="s">
        <v>250</v>
      </c>
      <c r="C204" s="133" t="s">
        <v>19</v>
      </c>
      <c r="D204" s="133" t="s">
        <v>47</v>
      </c>
      <c r="E204" s="134" t="s">
        <v>14</v>
      </c>
      <c r="F204" s="135"/>
      <c r="G204" s="136" t="s">
        <v>896</v>
      </c>
      <c r="H204" s="137" t="s">
        <v>897</v>
      </c>
      <c r="I204" s="138" t="s">
        <v>898</v>
      </c>
      <c r="J204" s="139"/>
      <c r="K204" s="135"/>
      <c r="L204" s="135"/>
      <c r="M204" s="148" t="s">
        <v>257</v>
      </c>
      <c r="N204" s="141"/>
      <c r="O204" s="142"/>
      <c r="P204" s="143" t="s">
        <v>790</v>
      </c>
      <c r="Q204" s="144" t="s">
        <v>298</v>
      </c>
      <c r="R204" s="144" t="s">
        <v>899</v>
      </c>
      <c r="S204" s="131"/>
    </row>
    <row r="205" spans="1:19" ht="18" hidden="1" customHeight="1" x14ac:dyDescent="0.3">
      <c r="A205" s="131">
        <v>204</v>
      </c>
      <c r="B205" s="132" t="s">
        <v>250</v>
      </c>
      <c r="C205" s="133" t="s">
        <v>19</v>
      </c>
      <c r="D205" s="133" t="s">
        <v>47</v>
      </c>
      <c r="E205" s="134" t="s">
        <v>14</v>
      </c>
      <c r="F205" s="135"/>
      <c r="G205" s="136" t="s">
        <v>900</v>
      </c>
      <c r="H205" s="137"/>
      <c r="I205" s="138" t="s">
        <v>739</v>
      </c>
      <c r="J205" s="139"/>
      <c r="K205" s="135"/>
      <c r="L205" s="135"/>
      <c r="M205" s="148" t="s">
        <v>257</v>
      </c>
      <c r="N205" s="141"/>
      <c r="O205" s="142"/>
      <c r="P205" s="143" t="s">
        <v>291</v>
      </c>
      <c r="Q205" s="144" t="s">
        <v>298</v>
      </c>
      <c r="R205" s="144" t="s">
        <v>901</v>
      </c>
      <c r="S205" s="131"/>
    </row>
    <row r="206" spans="1:19" ht="18" hidden="1" customHeight="1" x14ac:dyDescent="0.3">
      <c r="A206" s="131">
        <v>205</v>
      </c>
      <c r="B206" s="132" t="s">
        <v>250</v>
      </c>
      <c r="C206" s="133" t="s">
        <v>19</v>
      </c>
      <c r="D206" s="133" t="s">
        <v>47</v>
      </c>
      <c r="E206" s="134" t="s">
        <v>14</v>
      </c>
      <c r="F206" s="135"/>
      <c r="G206" s="136" t="s">
        <v>902</v>
      </c>
      <c r="H206" s="137" t="s">
        <v>903</v>
      </c>
      <c r="I206" s="138" t="s">
        <v>904</v>
      </c>
      <c r="J206" s="139"/>
      <c r="K206" s="135"/>
      <c r="L206" s="135"/>
      <c r="M206" s="148" t="s">
        <v>257</v>
      </c>
      <c r="N206" s="141"/>
      <c r="O206" s="142"/>
      <c r="P206" s="143" t="s">
        <v>905</v>
      </c>
      <c r="Q206" s="144" t="s">
        <v>298</v>
      </c>
      <c r="R206" s="144" t="s">
        <v>906</v>
      </c>
      <c r="S206" s="131"/>
    </row>
    <row r="207" spans="1:19" ht="18" hidden="1" customHeight="1" x14ac:dyDescent="0.3">
      <c r="A207" s="131">
        <v>206</v>
      </c>
      <c r="B207" s="132" t="s">
        <v>250</v>
      </c>
      <c r="C207" s="133" t="s">
        <v>19</v>
      </c>
      <c r="D207" s="133" t="s">
        <v>47</v>
      </c>
      <c r="E207" s="134" t="s">
        <v>15</v>
      </c>
      <c r="F207" s="135"/>
      <c r="G207" s="136" t="s">
        <v>907</v>
      </c>
      <c r="H207" s="137" t="s">
        <v>908</v>
      </c>
      <c r="I207" s="138" t="s">
        <v>77</v>
      </c>
      <c r="J207" s="139"/>
      <c r="K207" s="135"/>
      <c r="L207" s="135"/>
      <c r="M207" s="148" t="s">
        <v>40</v>
      </c>
      <c r="N207" s="141" t="s">
        <v>909</v>
      </c>
      <c r="O207" s="142"/>
      <c r="P207" s="143"/>
      <c r="Q207" s="144" t="s">
        <v>910</v>
      </c>
      <c r="R207" s="144"/>
      <c r="S207" s="131"/>
    </row>
    <row r="208" spans="1:19" ht="18" hidden="1" customHeight="1" x14ac:dyDescent="0.3">
      <c r="A208" s="151">
        <v>207</v>
      </c>
      <c r="B208" s="152" t="s">
        <v>250</v>
      </c>
      <c r="C208" s="153" t="s">
        <v>3</v>
      </c>
      <c r="D208" s="154" t="s">
        <v>47</v>
      </c>
      <c r="E208" s="155" t="s">
        <v>13</v>
      </c>
      <c r="F208" s="156" t="s">
        <v>911</v>
      </c>
      <c r="G208" s="157" t="s">
        <v>912</v>
      </c>
      <c r="H208" s="158" t="s">
        <v>913</v>
      </c>
      <c r="I208" s="159"/>
      <c r="J208" s="160" t="s">
        <v>186</v>
      </c>
      <c r="K208" s="156"/>
      <c r="L208" s="156"/>
      <c r="M208" s="161"/>
      <c r="N208" s="162" t="s">
        <v>914</v>
      </c>
      <c r="O208" s="163" t="s">
        <v>53</v>
      </c>
      <c r="P208" s="164" t="s">
        <v>54</v>
      </c>
      <c r="Q208" s="165" t="s">
        <v>264</v>
      </c>
      <c r="R208" s="165" t="s">
        <v>915</v>
      </c>
      <c r="S208" s="151"/>
    </row>
    <row r="209" spans="1:19" ht="18" hidden="1" customHeight="1" x14ac:dyDescent="0.3">
      <c r="A209" s="76">
        <v>208</v>
      </c>
      <c r="B209" s="166" t="s">
        <v>250</v>
      </c>
      <c r="C209" s="167" t="s">
        <v>3</v>
      </c>
      <c r="D209" s="168" t="s">
        <v>47</v>
      </c>
      <c r="E209" s="80" t="s">
        <v>13</v>
      </c>
      <c r="F209" s="81"/>
      <c r="G209" s="82" t="s">
        <v>916</v>
      </c>
      <c r="H209" s="83" t="s">
        <v>917</v>
      </c>
      <c r="I209" s="84" t="s">
        <v>77</v>
      </c>
      <c r="J209" s="85"/>
      <c r="K209" s="81"/>
      <c r="L209" s="81"/>
      <c r="M209" s="169"/>
      <c r="N209" s="87"/>
      <c r="O209" s="78" t="s">
        <v>53</v>
      </c>
      <c r="P209" s="88" t="s">
        <v>54</v>
      </c>
      <c r="Q209" s="89" t="s">
        <v>254</v>
      </c>
      <c r="R209" s="89" t="s">
        <v>918</v>
      </c>
      <c r="S209" s="76"/>
    </row>
    <row r="210" spans="1:19" ht="18" hidden="1" customHeight="1" x14ac:dyDescent="0.3">
      <c r="A210" s="151">
        <v>209</v>
      </c>
      <c r="B210" s="152" t="s">
        <v>250</v>
      </c>
      <c r="C210" s="153" t="s">
        <v>3</v>
      </c>
      <c r="D210" s="154" t="s">
        <v>47</v>
      </c>
      <c r="E210" s="155" t="s">
        <v>13</v>
      </c>
      <c r="F210" s="156"/>
      <c r="G210" s="157" t="s">
        <v>919</v>
      </c>
      <c r="H210" s="158" t="s">
        <v>920</v>
      </c>
      <c r="I210" s="159"/>
      <c r="J210" s="160"/>
      <c r="K210" s="156"/>
      <c r="L210" s="156"/>
      <c r="M210" s="161"/>
      <c r="N210" s="162"/>
      <c r="O210" s="163" t="s">
        <v>53</v>
      </c>
      <c r="P210" s="164" t="s">
        <v>54</v>
      </c>
      <c r="Q210" s="165" t="s">
        <v>264</v>
      </c>
      <c r="R210" s="165" t="s">
        <v>921</v>
      </c>
      <c r="S210" s="151"/>
    </row>
    <row r="211" spans="1:19" ht="18" hidden="1" customHeight="1" x14ac:dyDescent="0.3">
      <c r="A211" s="76">
        <v>210</v>
      </c>
      <c r="B211" s="166" t="s">
        <v>189</v>
      </c>
      <c r="C211" s="167" t="s">
        <v>3</v>
      </c>
      <c r="D211" s="168" t="s">
        <v>47</v>
      </c>
      <c r="E211" s="80" t="s">
        <v>13</v>
      </c>
      <c r="F211" s="81"/>
      <c r="G211" s="82" t="s">
        <v>922</v>
      </c>
      <c r="H211" s="83" t="s">
        <v>923</v>
      </c>
      <c r="I211" s="170" t="s">
        <v>924</v>
      </c>
      <c r="J211" s="85" t="s">
        <v>51</v>
      </c>
      <c r="K211" s="81"/>
      <c r="L211" s="81"/>
      <c r="M211" s="86" t="s">
        <v>40</v>
      </c>
      <c r="N211" s="87" t="s">
        <v>925</v>
      </c>
      <c r="O211" s="78" t="s">
        <v>53</v>
      </c>
      <c r="P211" s="88" t="s">
        <v>926</v>
      </c>
      <c r="Q211" s="89" t="s">
        <v>254</v>
      </c>
      <c r="R211" s="89" t="s">
        <v>927</v>
      </c>
      <c r="S211" s="76"/>
    </row>
    <row r="212" spans="1:19" ht="18" hidden="1" customHeight="1" x14ac:dyDescent="0.3">
      <c r="A212" s="151">
        <v>211</v>
      </c>
      <c r="B212" s="152" t="s">
        <v>250</v>
      </c>
      <c r="C212" s="153" t="s">
        <v>3</v>
      </c>
      <c r="D212" s="154" t="s">
        <v>47</v>
      </c>
      <c r="E212" s="155" t="s">
        <v>13</v>
      </c>
      <c r="F212" s="156"/>
      <c r="G212" s="157" t="s">
        <v>928</v>
      </c>
      <c r="H212" s="158" t="s">
        <v>929</v>
      </c>
      <c r="I212" s="159"/>
      <c r="J212" s="160"/>
      <c r="K212" s="156"/>
      <c r="L212" s="156"/>
      <c r="M212" s="161"/>
      <c r="N212" s="162"/>
      <c r="O212" s="163" t="s">
        <v>53</v>
      </c>
      <c r="P212" s="164" t="s">
        <v>930</v>
      </c>
      <c r="Q212" s="165" t="s">
        <v>381</v>
      </c>
      <c r="R212" s="165" t="s">
        <v>931</v>
      </c>
      <c r="S212" s="151"/>
    </row>
    <row r="213" spans="1:19" ht="18" hidden="1" customHeight="1" x14ac:dyDescent="0.3">
      <c r="A213" s="76">
        <v>212</v>
      </c>
      <c r="B213" s="166" t="s">
        <v>250</v>
      </c>
      <c r="C213" s="167" t="s">
        <v>3</v>
      </c>
      <c r="D213" s="168" t="s">
        <v>47</v>
      </c>
      <c r="E213" s="80" t="s">
        <v>13</v>
      </c>
      <c r="F213" s="81"/>
      <c r="G213" s="82" t="s">
        <v>932</v>
      </c>
      <c r="H213" s="83" t="s">
        <v>933</v>
      </c>
      <c r="I213" s="84"/>
      <c r="J213" s="85"/>
      <c r="K213" s="81"/>
      <c r="L213" s="81"/>
      <c r="M213" s="169"/>
      <c r="N213" s="87"/>
      <c r="O213" s="78" t="s">
        <v>53</v>
      </c>
      <c r="P213" s="88" t="s">
        <v>934</v>
      </c>
      <c r="Q213" s="89" t="s">
        <v>254</v>
      </c>
      <c r="R213" s="89" t="s">
        <v>935</v>
      </c>
      <c r="S213" s="76"/>
    </row>
    <row r="214" spans="1:19" ht="18" hidden="1" customHeight="1" x14ac:dyDescent="0.3">
      <c r="A214" s="151">
        <v>213</v>
      </c>
      <c r="B214" s="152" t="s">
        <v>250</v>
      </c>
      <c r="C214" s="153" t="s">
        <v>3</v>
      </c>
      <c r="D214" s="154" t="s">
        <v>47</v>
      </c>
      <c r="E214" s="155" t="s">
        <v>13</v>
      </c>
      <c r="F214" s="156"/>
      <c r="G214" s="157" t="s">
        <v>936</v>
      </c>
      <c r="H214" s="158" t="s">
        <v>937</v>
      </c>
      <c r="I214" s="159"/>
      <c r="J214" s="160"/>
      <c r="K214" s="156"/>
      <c r="L214" s="156"/>
      <c r="M214" s="161"/>
      <c r="N214" s="162"/>
      <c r="O214" s="163" t="s">
        <v>53</v>
      </c>
      <c r="P214" s="164" t="s">
        <v>54</v>
      </c>
      <c r="Q214" s="165" t="s">
        <v>264</v>
      </c>
      <c r="R214" s="165" t="s">
        <v>938</v>
      </c>
      <c r="S214" s="151"/>
    </row>
    <row r="215" spans="1:19" ht="18" hidden="1" customHeight="1" x14ac:dyDescent="0.3">
      <c r="A215" s="76">
        <v>214</v>
      </c>
      <c r="B215" s="166" t="s">
        <v>250</v>
      </c>
      <c r="C215" s="167" t="s">
        <v>3</v>
      </c>
      <c r="D215" s="168" t="s">
        <v>47</v>
      </c>
      <c r="E215" s="80" t="s">
        <v>13</v>
      </c>
      <c r="F215" s="81"/>
      <c r="G215" s="82" t="s">
        <v>939</v>
      </c>
      <c r="H215" s="83" t="s">
        <v>940</v>
      </c>
      <c r="I215" s="84"/>
      <c r="J215" s="85"/>
      <c r="K215" s="81"/>
      <c r="L215" s="81"/>
      <c r="M215" s="169"/>
      <c r="N215" s="87"/>
      <c r="O215" s="78" t="s">
        <v>354</v>
      </c>
      <c r="P215" s="88" t="s">
        <v>54</v>
      </c>
      <c r="Q215" s="89" t="s">
        <v>152</v>
      </c>
      <c r="R215" s="89" t="s">
        <v>941</v>
      </c>
      <c r="S215" s="76"/>
    </row>
    <row r="216" spans="1:19" ht="18" hidden="1" customHeight="1" x14ac:dyDescent="0.3">
      <c r="A216" s="151">
        <v>215</v>
      </c>
      <c r="B216" s="152" t="s">
        <v>250</v>
      </c>
      <c r="C216" s="153" t="s">
        <v>3</v>
      </c>
      <c r="D216" s="154" t="s">
        <v>47</v>
      </c>
      <c r="E216" s="155" t="s">
        <v>13</v>
      </c>
      <c r="F216" s="156"/>
      <c r="G216" s="157" t="s">
        <v>942</v>
      </c>
      <c r="H216" s="158" t="s">
        <v>943</v>
      </c>
      <c r="I216" s="159"/>
      <c r="J216" s="160"/>
      <c r="K216" s="156"/>
      <c r="L216" s="156"/>
      <c r="M216" s="161"/>
      <c r="N216" s="162"/>
      <c r="O216" s="163" t="s">
        <v>354</v>
      </c>
      <c r="P216" s="164" t="s">
        <v>54</v>
      </c>
      <c r="Q216" s="165" t="s">
        <v>381</v>
      </c>
      <c r="R216" s="165" t="s">
        <v>944</v>
      </c>
      <c r="S216" s="151"/>
    </row>
    <row r="217" spans="1:19" ht="18" hidden="1" customHeight="1" x14ac:dyDescent="0.3">
      <c r="A217" s="76">
        <v>216</v>
      </c>
      <c r="B217" s="166" t="s">
        <v>250</v>
      </c>
      <c r="C217" s="167" t="s">
        <v>3</v>
      </c>
      <c r="D217" s="168" t="s">
        <v>47</v>
      </c>
      <c r="E217" s="80" t="s">
        <v>13</v>
      </c>
      <c r="F217" s="81"/>
      <c r="G217" s="82" t="s">
        <v>945</v>
      </c>
      <c r="H217" s="83" t="s">
        <v>946</v>
      </c>
      <c r="I217" s="84"/>
      <c r="J217" s="85"/>
      <c r="K217" s="81"/>
      <c r="L217" s="81"/>
      <c r="M217" s="169"/>
      <c r="N217" s="87"/>
      <c r="O217" s="78" t="s">
        <v>354</v>
      </c>
      <c r="P217" s="88" t="s">
        <v>54</v>
      </c>
      <c r="Q217" s="89" t="s">
        <v>388</v>
      </c>
      <c r="R217" s="89" t="s">
        <v>947</v>
      </c>
      <c r="S217" s="76"/>
    </row>
    <row r="218" spans="1:19" ht="18" hidden="1" customHeight="1" x14ac:dyDescent="0.3">
      <c r="A218" s="151">
        <v>217</v>
      </c>
      <c r="B218" s="152" t="s">
        <v>250</v>
      </c>
      <c r="C218" s="153" t="s">
        <v>3</v>
      </c>
      <c r="D218" s="154" t="s">
        <v>47</v>
      </c>
      <c r="E218" s="155" t="s">
        <v>13</v>
      </c>
      <c r="F218" s="156"/>
      <c r="G218" s="157" t="s">
        <v>948</v>
      </c>
      <c r="H218" s="158" t="s">
        <v>949</v>
      </c>
      <c r="I218" s="159"/>
      <c r="J218" s="160"/>
      <c r="K218" s="156"/>
      <c r="L218" s="156"/>
      <c r="M218" s="161"/>
      <c r="N218" s="162"/>
      <c r="O218" s="163" t="s">
        <v>354</v>
      </c>
      <c r="P218" s="164" t="s">
        <v>73</v>
      </c>
      <c r="Q218" s="165" t="s">
        <v>264</v>
      </c>
      <c r="R218" s="165" t="s">
        <v>950</v>
      </c>
      <c r="S218" s="151"/>
    </row>
    <row r="219" spans="1:19" ht="18" hidden="1" customHeight="1" x14ac:dyDescent="0.3">
      <c r="A219" s="76">
        <v>218</v>
      </c>
      <c r="B219" s="166" t="s">
        <v>250</v>
      </c>
      <c r="C219" s="167" t="s">
        <v>3</v>
      </c>
      <c r="D219" s="168" t="s">
        <v>47</v>
      </c>
      <c r="E219" s="80" t="s">
        <v>13</v>
      </c>
      <c r="F219" s="81"/>
      <c r="G219" s="82" t="s">
        <v>951</v>
      </c>
      <c r="H219" s="83" t="s">
        <v>952</v>
      </c>
      <c r="I219" s="84"/>
      <c r="J219" s="85"/>
      <c r="K219" s="81"/>
      <c r="L219" s="81"/>
      <c r="M219" s="169"/>
      <c r="N219" s="87"/>
      <c r="O219" s="78" t="s">
        <v>354</v>
      </c>
      <c r="P219" s="88" t="s">
        <v>54</v>
      </c>
      <c r="Q219" s="89" t="s">
        <v>264</v>
      </c>
      <c r="R219" s="89" t="s">
        <v>953</v>
      </c>
      <c r="S219" s="76"/>
    </row>
    <row r="220" spans="1:19" ht="18" hidden="1" customHeight="1" x14ac:dyDescent="0.3">
      <c r="A220" s="151">
        <v>219</v>
      </c>
      <c r="B220" s="152" t="s">
        <v>250</v>
      </c>
      <c r="C220" s="153" t="s">
        <v>3</v>
      </c>
      <c r="D220" s="154" t="s">
        <v>47</v>
      </c>
      <c r="E220" s="155" t="s">
        <v>13</v>
      </c>
      <c r="F220" s="156"/>
      <c r="G220" s="157" t="s">
        <v>954</v>
      </c>
      <c r="H220" s="158" t="s">
        <v>955</v>
      </c>
      <c r="I220" s="159"/>
      <c r="J220" s="160"/>
      <c r="K220" s="156"/>
      <c r="L220" s="156"/>
      <c r="M220" s="161"/>
      <c r="N220" s="162"/>
      <c r="O220" s="163" t="s">
        <v>354</v>
      </c>
      <c r="P220" s="164" t="s">
        <v>54</v>
      </c>
      <c r="Q220" s="165" t="s">
        <v>264</v>
      </c>
      <c r="R220" s="165" t="s">
        <v>956</v>
      </c>
      <c r="S220" s="151"/>
    </row>
    <row r="221" spans="1:19" ht="18" hidden="1" customHeight="1" x14ac:dyDescent="0.3">
      <c r="A221" s="76">
        <v>220</v>
      </c>
      <c r="B221" s="166" t="s">
        <v>250</v>
      </c>
      <c r="C221" s="167" t="s">
        <v>3</v>
      </c>
      <c r="D221" s="168" t="s">
        <v>47</v>
      </c>
      <c r="E221" s="80" t="s">
        <v>14</v>
      </c>
      <c r="F221" s="81"/>
      <c r="G221" s="82" t="s">
        <v>957</v>
      </c>
      <c r="H221" s="83" t="s">
        <v>958</v>
      </c>
      <c r="I221" s="84"/>
      <c r="J221" s="85"/>
      <c r="K221" s="81"/>
      <c r="L221" s="81"/>
      <c r="M221" s="86" t="s">
        <v>40</v>
      </c>
      <c r="N221" s="87"/>
      <c r="O221" s="78"/>
      <c r="P221" s="88" t="s">
        <v>54</v>
      </c>
      <c r="Q221" s="89" t="s">
        <v>816</v>
      </c>
      <c r="R221" s="89" t="s">
        <v>959</v>
      </c>
      <c r="S221" s="76"/>
    </row>
    <row r="222" spans="1:19" ht="18" hidden="1" customHeight="1" x14ac:dyDescent="0.3">
      <c r="A222" s="151">
        <v>221</v>
      </c>
      <c r="B222" s="152" t="s">
        <v>5</v>
      </c>
      <c r="C222" s="153" t="s">
        <v>3</v>
      </c>
      <c r="D222" s="154" t="s">
        <v>47</v>
      </c>
      <c r="E222" s="155" t="s">
        <v>14</v>
      </c>
      <c r="F222" s="156"/>
      <c r="G222" s="157" t="s">
        <v>960</v>
      </c>
      <c r="H222" s="158" t="s">
        <v>961</v>
      </c>
      <c r="I222" s="159"/>
      <c r="J222" s="160" t="s">
        <v>51</v>
      </c>
      <c r="K222" s="156"/>
      <c r="L222" s="156"/>
      <c r="M222" s="171" t="s">
        <v>40</v>
      </c>
      <c r="N222" s="162" t="s">
        <v>962</v>
      </c>
      <c r="O222" s="163"/>
      <c r="P222" s="164" t="s">
        <v>963</v>
      </c>
      <c r="Q222" s="165" t="s">
        <v>60</v>
      </c>
      <c r="R222" s="165" t="s">
        <v>964</v>
      </c>
      <c r="S222" s="151"/>
    </row>
    <row r="223" spans="1:19" ht="18" hidden="1" customHeight="1" x14ac:dyDescent="0.3">
      <c r="A223" s="76">
        <v>222</v>
      </c>
      <c r="B223" s="166" t="s">
        <v>250</v>
      </c>
      <c r="C223" s="167" t="s">
        <v>3</v>
      </c>
      <c r="D223" s="168" t="s">
        <v>47</v>
      </c>
      <c r="E223" s="80" t="s">
        <v>14</v>
      </c>
      <c r="F223" s="81"/>
      <c r="G223" s="82" t="s">
        <v>965</v>
      </c>
      <c r="H223" s="83" t="s">
        <v>966</v>
      </c>
      <c r="I223" s="84"/>
      <c r="J223" s="85"/>
      <c r="K223" s="81"/>
      <c r="L223" s="81"/>
      <c r="M223" s="86" t="s">
        <v>40</v>
      </c>
      <c r="N223" s="87"/>
      <c r="O223" s="78"/>
      <c r="P223" s="88" t="s">
        <v>967</v>
      </c>
      <c r="Q223" s="89" t="s">
        <v>438</v>
      </c>
      <c r="R223" s="89"/>
      <c r="S223" s="76"/>
    </row>
    <row r="224" spans="1:19" ht="18" hidden="1" customHeight="1" x14ac:dyDescent="0.3">
      <c r="A224" s="151">
        <v>223</v>
      </c>
      <c r="B224" s="152" t="s">
        <v>250</v>
      </c>
      <c r="C224" s="153" t="s">
        <v>3</v>
      </c>
      <c r="D224" s="154" t="s">
        <v>47</v>
      </c>
      <c r="E224" s="155" t="s">
        <v>14</v>
      </c>
      <c r="F224" s="156"/>
      <c r="G224" s="157" t="s">
        <v>968</v>
      </c>
      <c r="H224" s="158" t="s">
        <v>969</v>
      </c>
      <c r="I224" s="159"/>
      <c r="J224" s="160"/>
      <c r="K224" s="156"/>
      <c r="L224" s="156"/>
      <c r="M224" s="171" t="s">
        <v>40</v>
      </c>
      <c r="N224" s="162"/>
      <c r="O224" s="163"/>
      <c r="P224" s="164" t="s">
        <v>970</v>
      </c>
      <c r="Q224" s="165" t="s">
        <v>298</v>
      </c>
      <c r="R224" s="165" t="s">
        <v>971</v>
      </c>
      <c r="S224" s="151"/>
    </row>
    <row r="225" spans="1:19" ht="18" hidden="1" customHeight="1" x14ac:dyDescent="0.3">
      <c r="A225" s="76">
        <v>224</v>
      </c>
      <c r="B225" s="166" t="s">
        <v>250</v>
      </c>
      <c r="C225" s="167" t="s">
        <v>3</v>
      </c>
      <c r="D225" s="168" t="s">
        <v>47</v>
      </c>
      <c r="E225" s="80" t="s">
        <v>13</v>
      </c>
      <c r="F225" s="81"/>
      <c r="G225" s="82" t="s">
        <v>972</v>
      </c>
      <c r="H225" s="83" t="s">
        <v>973</v>
      </c>
      <c r="I225" s="84"/>
      <c r="J225" s="85"/>
      <c r="K225" s="81"/>
      <c r="L225" s="81"/>
      <c r="M225" s="169"/>
      <c r="N225" s="87"/>
      <c r="O225" s="78" t="s">
        <v>354</v>
      </c>
      <c r="P225" s="88" t="s">
        <v>54</v>
      </c>
      <c r="Q225" s="89" t="s">
        <v>381</v>
      </c>
      <c r="R225" s="89" t="s">
        <v>974</v>
      </c>
      <c r="S225" s="76"/>
    </row>
    <row r="226" spans="1:19" ht="18" hidden="1" customHeight="1" x14ac:dyDescent="0.3">
      <c r="A226" s="151">
        <v>225</v>
      </c>
      <c r="B226" s="152" t="s">
        <v>250</v>
      </c>
      <c r="C226" s="153" t="s">
        <v>3</v>
      </c>
      <c r="D226" s="154" t="s">
        <v>47</v>
      </c>
      <c r="E226" s="155" t="s">
        <v>13</v>
      </c>
      <c r="F226" s="156"/>
      <c r="G226" s="157" t="s">
        <v>975</v>
      </c>
      <c r="H226" s="158" t="s">
        <v>976</v>
      </c>
      <c r="I226" s="172" t="s">
        <v>977</v>
      </c>
      <c r="J226" s="160" t="s">
        <v>51</v>
      </c>
      <c r="K226" s="156"/>
      <c r="L226" s="156"/>
      <c r="M226" s="171" t="s">
        <v>40</v>
      </c>
      <c r="N226" s="162" t="s">
        <v>978</v>
      </c>
      <c r="O226" s="163" t="s">
        <v>53</v>
      </c>
      <c r="P226" s="164" t="s">
        <v>54</v>
      </c>
      <c r="Q226" s="165" t="s">
        <v>381</v>
      </c>
      <c r="R226" s="165" t="s">
        <v>979</v>
      </c>
      <c r="S226" s="151"/>
    </row>
    <row r="227" spans="1:19" ht="18" hidden="1" customHeight="1" x14ac:dyDescent="0.3">
      <c r="A227" s="76">
        <v>226</v>
      </c>
      <c r="B227" s="166" t="s">
        <v>250</v>
      </c>
      <c r="C227" s="167" t="s">
        <v>3</v>
      </c>
      <c r="D227" s="168" t="s">
        <v>47</v>
      </c>
      <c r="E227" s="80" t="s">
        <v>13</v>
      </c>
      <c r="F227" s="173" t="s">
        <v>92</v>
      </c>
      <c r="G227" s="82" t="s">
        <v>980</v>
      </c>
      <c r="H227" s="83" t="s">
        <v>981</v>
      </c>
      <c r="I227" s="170" t="s">
        <v>982</v>
      </c>
      <c r="J227" s="85" t="s">
        <v>51</v>
      </c>
      <c r="K227" s="81"/>
      <c r="L227" s="81"/>
      <c r="M227" s="86" t="s">
        <v>40</v>
      </c>
      <c r="N227" s="87" t="s">
        <v>983</v>
      </c>
      <c r="O227" s="78" t="s">
        <v>354</v>
      </c>
      <c r="P227" s="88" t="s">
        <v>54</v>
      </c>
      <c r="Q227" s="89" t="s">
        <v>264</v>
      </c>
      <c r="R227" s="89" t="s">
        <v>984</v>
      </c>
      <c r="S227" s="76"/>
    </row>
    <row r="228" spans="1:19" ht="18" hidden="1" customHeight="1" x14ac:dyDescent="0.3">
      <c r="A228" s="151">
        <v>227</v>
      </c>
      <c r="B228" s="152" t="s">
        <v>250</v>
      </c>
      <c r="C228" s="153" t="s">
        <v>3</v>
      </c>
      <c r="D228" s="154" t="s">
        <v>47</v>
      </c>
      <c r="E228" s="155" t="s">
        <v>13</v>
      </c>
      <c r="F228" s="156"/>
      <c r="G228" s="157" t="s">
        <v>985</v>
      </c>
      <c r="H228" s="158" t="s">
        <v>986</v>
      </c>
      <c r="I228" s="159"/>
      <c r="J228" s="160"/>
      <c r="K228" s="156"/>
      <c r="L228" s="156"/>
      <c r="M228" s="161"/>
      <c r="N228" s="162"/>
      <c r="O228" s="163" t="s">
        <v>53</v>
      </c>
      <c r="P228" s="164" t="s">
        <v>54</v>
      </c>
      <c r="Q228" s="165" t="s">
        <v>264</v>
      </c>
      <c r="R228" s="165" t="s">
        <v>987</v>
      </c>
      <c r="S228" s="151"/>
    </row>
    <row r="229" spans="1:19" ht="18" hidden="1" customHeight="1" x14ac:dyDescent="0.3">
      <c r="A229" s="76">
        <v>228</v>
      </c>
      <c r="B229" s="166" t="s">
        <v>250</v>
      </c>
      <c r="C229" s="167" t="s">
        <v>3</v>
      </c>
      <c r="D229" s="168" t="s">
        <v>47</v>
      </c>
      <c r="E229" s="80" t="s">
        <v>13</v>
      </c>
      <c r="F229" s="81"/>
      <c r="G229" s="82" t="s">
        <v>988</v>
      </c>
      <c r="H229" s="83" t="s">
        <v>989</v>
      </c>
      <c r="I229" s="84"/>
      <c r="J229" s="85"/>
      <c r="K229" s="81"/>
      <c r="L229" s="81"/>
      <c r="M229" s="169"/>
      <c r="N229" s="87"/>
      <c r="O229" s="78" t="s">
        <v>354</v>
      </c>
      <c r="P229" s="88" t="s">
        <v>54</v>
      </c>
      <c r="Q229" s="89" t="s">
        <v>323</v>
      </c>
      <c r="R229" s="89" t="s">
        <v>990</v>
      </c>
      <c r="S229" s="76"/>
    </row>
    <row r="230" spans="1:19" ht="18" hidden="1" customHeight="1" x14ac:dyDescent="0.3">
      <c r="A230" s="151">
        <v>229</v>
      </c>
      <c r="B230" s="152" t="s">
        <v>250</v>
      </c>
      <c r="C230" s="153" t="s">
        <v>3</v>
      </c>
      <c r="D230" s="154" t="s">
        <v>47</v>
      </c>
      <c r="E230" s="155" t="s">
        <v>13</v>
      </c>
      <c r="F230" s="156"/>
      <c r="G230" s="157" t="s">
        <v>991</v>
      </c>
      <c r="H230" s="158" t="s">
        <v>992</v>
      </c>
      <c r="I230" s="159" t="s">
        <v>993</v>
      </c>
      <c r="J230" s="160" t="s">
        <v>186</v>
      </c>
      <c r="K230" s="156"/>
      <c r="L230" s="156"/>
      <c r="M230" s="161"/>
      <c r="N230" s="162"/>
      <c r="O230" s="163" t="s">
        <v>290</v>
      </c>
      <c r="P230" s="164" t="s">
        <v>291</v>
      </c>
      <c r="Q230" s="165" t="s">
        <v>254</v>
      </c>
      <c r="R230" s="165" t="s">
        <v>994</v>
      </c>
      <c r="S230" s="151"/>
    </row>
    <row r="231" spans="1:19" ht="18" hidden="1" customHeight="1" x14ac:dyDescent="0.3">
      <c r="A231" s="76">
        <v>230</v>
      </c>
      <c r="B231" s="166" t="s">
        <v>250</v>
      </c>
      <c r="C231" s="167" t="s">
        <v>3</v>
      </c>
      <c r="D231" s="168" t="s">
        <v>47</v>
      </c>
      <c r="E231" s="80" t="s">
        <v>13</v>
      </c>
      <c r="F231" s="81"/>
      <c r="G231" s="82" t="s">
        <v>995</v>
      </c>
      <c r="H231" s="83" t="s">
        <v>996</v>
      </c>
      <c r="I231" s="84" t="s">
        <v>997</v>
      </c>
      <c r="J231" s="85"/>
      <c r="K231" s="81"/>
      <c r="L231" s="81"/>
      <c r="M231" s="169"/>
      <c r="N231" s="87"/>
      <c r="O231" s="78" t="s">
        <v>290</v>
      </c>
      <c r="P231" s="88" t="s">
        <v>998</v>
      </c>
      <c r="Q231" s="89" t="s">
        <v>264</v>
      </c>
      <c r="R231" s="89" t="s">
        <v>999</v>
      </c>
      <c r="S231" s="76"/>
    </row>
    <row r="232" spans="1:19" ht="18" hidden="1" customHeight="1" x14ac:dyDescent="0.3">
      <c r="A232" s="151">
        <v>231</v>
      </c>
      <c r="B232" s="152" t="s">
        <v>250</v>
      </c>
      <c r="C232" s="153" t="s">
        <v>3</v>
      </c>
      <c r="D232" s="154" t="s">
        <v>47</v>
      </c>
      <c r="E232" s="155" t="s">
        <v>13</v>
      </c>
      <c r="F232" s="156"/>
      <c r="G232" s="157" t="s">
        <v>1000</v>
      </c>
      <c r="H232" s="158" t="s">
        <v>1001</v>
      </c>
      <c r="I232" s="159" t="s">
        <v>1002</v>
      </c>
      <c r="J232" s="160"/>
      <c r="K232" s="156"/>
      <c r="L232" s="156"/>
      <c r="M232" s="161"/>
      <c r="N232" s="162"/>
      <c r="O232" s="163" t="s">
        <v>290</v>
      </c>
      <c r="P232" s="164" t="s">
        <v>73</v>
      </c>
      <c r="Q232" s="165" t="s">
        <v>597</v>
      </c>
      <c r="R232" s="165" t="s">
        <v>1003</v>
      </c>
      <c r="S232" s="151"/>
    </row>
    <row r="233" spans="1:19" ht="18" hidden="1" customHeight="1" x14ac:dyDescent="0.3">
      <c r="A233" s="76">
        <v>232</v>
      </c>
      <c r="B233" s="166" t="s">
        <v>250</v>
      </c>
      <c r="C233" s="167" t="s">
        <v>3</v>
      </c>
      <c r="D233" s="168" t="s">
        <v>47</v>
      </c>
      <c r="E233" s="80" t="s">
        <v>13</v>
      </c>
      <c r="F233" s="81"/>
      <c r="G233" s="82" t="s">
        <v>1004</v>
      </c>
      <c r="H233" s="83" t="s">
        <v>1005</v>
      </c>
      <c r="I233" s="84" t="s">
        <v>1006</v>
      </c>
      <c r="J233" s="85"/>
      <c r="K233" s="81"/>
      <c r="L233" s="81"/>
      <c r="M233" s="169"/>
      <c r="N233" s="87"/>
      <c r="O233" s="78" t="s">
        <v>53</v>
      </c>
      <c r="P233" s="88" t="s">
        <v>291</v>
      </c>
      <c r="Q233" s="89" t="s">
        <v>254</v>
      </c>
      <c r="R233" s="89" t="s">
        <v>1007</v>
      </c>
      <c r="S233" s="76"/>
    </row>
    <row r="234" spans="1:19" ht="18" hidden="1" customHeight="1" x14ac:dyDescent="0.3">
      <c r="A234" s="151">
        <v>233</v>
      </c>
      <c r="B234" s="152" t="s">
        <v>250</v>
      </c>
      <c r="C234" s="153" t="s">
        <v>3</v>
      </c>
      <c r="D234" s="154" t="s">
        <v>47</v>
      </c>
      <c r="E234" s="155" t="s">
        <v>13</v>
      </c>
      <c r="F234" s="156"/>
      <c r="G234" s="157" t="s">
        <v>1008</v>
      </c>
      <c r="H234" s="158"/>
      <c r="I234" s="159" t="s">
        <v>1009</v>
      </c>
      <c r="J234" s="160"/>
      <c r="K234" s="156"/>
      <c r="L234" s="156"/>
      <c r="M234" s="161"/>
      <c r="N234" s="162"/>
      <c r="O234" s="163" t="s">
        <v>354</v>
      </c>
      <c r="P234" s="164" t="s">
        <v>329</v>
      </c>
      <c r="Q234" s="165" t="s">
        <v>597</v>
      </c>
      <c r="R234" s="165" t="s">
        <v>1010</v>
      </c>
      <c r="S234" s="151"/>
    </row>
    <row r="235" spans="1:19" ht="18" hidden="1" customHeight="1" x14ac:dyDescent="0.3">
      <c r="A235" s="76">
        <v>234</v>
      </c>
      <c r="B235" s="166" t="s">
        <v>250</v>
      </c>
      <c r="C235" s="167" t="s">
        <v>3</v>
      </c>
      <c r="D235" s="168" t="s">
        <v>47</v>
      </c>
      <c r="E235" s="80" t="s">
        <v>13</v>
      </c>
      <c r="F235" s="81"/>
      <c r="G235" s="82" t="s">
        <v>1011</v>
      </c>
      <c r="H235" s="83" t="s">
        <v>1012</v>
      </c>
      <c r="I235" s="84" t="s">
        <v>1013</v>
      </c>
      <c r="J235" s="85"/>
      <c r="K235" s="81"/>
      <c r="L235" s="81"/>
      <c r="M235" s="169"/>
      <c r="N235" s="87"/>
      <c r="O235" s="78" t="s">
        <v>53</v>
      </c>
      <c r="P235" s="88" t="s">
        <v>73</v>
      </c>
      <c r="Q235" s="89" t="s">
        <v>254</v>
      </c>
      <c r="R235" s="89" t="s">
        <v>1014</v>
      </c>
      <c r="S235" s="76"/>
    </row>
    <row r="236" spans="1:19" ht="18" hidden="1" customHeight="1" x14ac:dyDescent="0.3">
      <c r="A236" s="151">
        <v>235</v>
      </c>
      <c r="B236" s="152" t="s">
        <v>250</v>
      </c>
      <c r="C236" s="153" t="s">
        <v>3</v>
      </c>
      <c r="D236" s="154" t="s">
        <v>47</v>
      </c>
      <c r="E236" s="155" t="s">
        <v>13</v>
      </c>
      <c r="F236" s="156"/>
      <c r="G236" s="157" t="s">
        <v>1015</v>
      </c>
      <c r="H236" s="158" t="s">
        <v>1016</v>
      </c>
      <c r="I236" s="159" t="s">
        <v>1017</v>
      </c>
      <c r="J236" s="160" t="s">
        <v>186</v>
      </c>
      <c r="K236" s="156"/>
      <c r="L236" s="156"/>
      <c r="M236" s="161"/>
      <c r="N236" s="162"/>
      <c r="O236" s="163" t="s">
        <v>53</v>
      </c>
      <c r="P236" s="164" t="s">
        <v>73</v>
      </c>
      <c r="Q236" s="165" t="s">
        <v>254</v>
      </c>
      <c r="R236" s="165" t="s">
        <v>1018</v>
      </c>
      <c r="S236" s="151"/>
    </row>
    <row r="237" spans="1:19" ht="18" hidden="1" customHeight="1" x14ac:dyDescent="0.3">
      <c r="A237" s="76">
        <v>236</v>
      </c>
      <c r="B237" s="166" t="s">
        <v>250</v>
      </c>
      <c r="C237" s="167" t="s">
        <v>3</v>
      </c>
      <c r="D237" s="168" t="s">
        <v>47</v>
      </c>
      <c r="E237" s="80" t="s">
        <v>13</v>
      </c>
      <c r="F237" s="81"/>
      <c r="G237" s="82" t="s">
        <v>1019</v>
      </c>
      <c r="H237" s="83"/>
      <c r="I237" s="84" t="s">
        <v>1020</v>
      </c>
      <c r="J237" s="85"/>
      <c r="K237" s="81"/>
      <c r="L237" s="81"/>
      <c r="M237" s="169"/>
      <c r="N237" s="87"/>
      <c r="O237" s="78" t="s">
        <v>53</v>
      </c>
      <c r="P237" s="88" t="s">
        <v>73</v>
      </c>
      <c r="Q237" s="89" t="s">
        <v>597</v>
      </c>
      <c r="R237" s="89" t="s">
        <v>1021</v>
      </c>
      <c r="S237" s="76"/>
    </row>
    <row r="238" spans="1:19" ht="18" hidden="1" customHeight="1" x14ac:dyDescent="0.3">
      <c r="A238" s="151">
        <v>237</v>
      </c>
      <c r="B238" s="152" t="s">
        <v>250</v>
      </c>
      <c r="C238" s="153" t="s">
        <v>3</v>
      </c>
      <c r="D238" s="154" t="s">
        <v>47</v>
      </c>
      <c r="E238" s="155" t="s">
        <v>14</v>
      </c>
      <c r="F238" s="156"/>
      <c r="G238" s="157" t="s">
        <v>1022</v>
      </c>
      <c r="H238" s="158" t="s">
        <v>1001</v>
      </c>
      <c r="I238" s="159" t="s">
        <v>171</v>
      </c>
      <c r="J238" s="160" t="s">
        <v>186</v>
      </c>
      <c r="K238" s="156"/>
      <c r="L238" s="156"/>
      <c r="M238" s="171" t="s">
        <v>257</v>
      </c>
      <c r="N238" s="162"/>
      <c r="O238" s="163"/>
      <c r="P238" s="164" t="s">
        <v>73</v>
      </c>
      <c r="Q238" s="165" t="s">
        <v>298</v>
      </c>
      <c r="R238" s="165" t="s">
        <v>1023</v>
      </c>
      <c r="S238" s="151"/>
    </row>
    <row r="239" spans="1:19" ht="18" hidden="1" customHeight="1" x14ac:dyDescent="0.3">
      <c r="A239" s="76">
        <v>238</v>
      </c>
      <c r="B239" s="166" t="s">
        <v>250</v>
      </c>
      <c r="C239" s="167" t="s">
        <v>3</v>
      </c>
      <c r="D239" s="168" t="s">
        <v>47</v>
      </c>
      <c r="E239" s="80" t="s">
        <v>14</v>
      </c>
      <c r="F239" s="81"/>
      <c r="G239" s="82" t="s">
        <v>1024</v>
      </c>
      <c r="H239" s="83" t="s">
        <v>1025</v>
      </c>
      <c r="I239" s="84"/>
      <c r="J239" s="85"/>
      <c r="K239" s="81"/>
      <c r="L239" s="81"/>
      <c r="M239" s="86" t="s">
        <v>257</v>
      </c>
      <c r="N239" s="87"/>
      <c r="O239" s="78"/>
      <c r="P239" s="88" t="s">
        <v>73</v>
      </c>
      <c r="Q239" s="89" t="s">
        <v>298</v>
      </c>
      <c r="R239" s="89" t="s">
        <v>1026</v>
      </c>
      <c r="S239" s="76"/>
    </row>
    <row r="240" spans="1:19" ht="18" hidden="1" customHeight="1" x14ac:dyDescent="0.3">
      <c r="A240" s="151">
        <v>239</v>
      </c>
      <c r="B240" s="152" t="s">
        <v>250</v>
      </c>
      <c r="C240" s="153" t="s">
        <v>3</v>
      </c>
      <c r="D240" s="154" t="s">
        <v>47</v>
      </c>
      <c r="E240" s="155" t="s">
        <v>14</v>
      </c>
      <c r="F240" s="156"/>
      <c r="G240" s="157" t="s">
        <v>1027</v>
      </c>
      <c r="H240" s="158" t="s">
        <v>1028</v>
      </c>
      <c r="I240" s="159" t="s">
        <v>1029</v>
      </c>
      <c r="J240" s="160" t="s">
        <v>186</v>
      </c>
      <c r="K240" s="156"/>
      <c r="L240" s="156"/>
      <c r="M240" s="171" t="s">
        <v>257</v>
      </c>
      <c r="N240" s="162"/>
      <c r="O240" s="163"/>
      <c r="P240" s="164" t="s">
        <v>73</v>
      </c>
      <c r="Q240" s="165" t="s">
        <v>298</v>
      </c>
      <c r="R240" s="165"/>
      <c r="S240" s="151"/>
    </row>
    <row r="241" spans="1:19" ht="18" hidden="1" customHeight="1" x14ac:dyDescent="0.3">
      <c r="A241" s="76">
        <v>240</v>
      </c>
      <c r="B241" s="166" t="s">
        <v>250</v>
      </c>
      <c r="C241" s="167" t="s">
        <v>3</v>
      </c>
      <c r="D241" s="168" t="s">
        <v>47</v>
      </c>
      <c r="E241" s="80" t="s">
        <v>14</v>
      </c>
      <c r="F241" s="81"/>
      <c r="G241" s="82" t="s">
        <v>1030</v>
      </c>
      <c r="H241" s="83" t="s">
        <v>1031</v>
      </c>
      <c r="I241" s="84" t="s">
        <v>1032</v>
      </c>
      <c r="J241" s="85"/>
      <c r="K241" s="81"/>
      <c r="L241" s="81"/>
      <c r="M241" s="86" t="s">
        <v>257</v>
      </c>
      <c r="N241" s="87"/>
      <c r="O241" s="78"/>
      <c r="P241" s="88" t="s">
        <v>1033</v>
      </c>
      <c r="Q241" s="89" t="s">
        <v>298</v>
      </c>
      <c r="R241" s="89" t="s">
        <v>1034</v>
      </c>
      <c r="S241" s="76"/>
    </row>
    <row r="242" spans="1:19" ht="18" hidden="1" customHeight="1" x14ac:dyDescent="0.3">
      <c r="A242" s="151">
        <v>241</v>
      </c>
      <c r="B242" s="152" t="s">
        <v>250</v>
      </c>
      <c r="C242" s="153" t="s">
        <v>3</v>
      </c>
      <c r="D242" s="154" t="s">
        <v>47</v>
      </c>
      <c r="E242" s="155" t="s">
        <v>14</v>
      </c>
      <c r="F242" s="156"/>
      <c r="G242" s="157" t="s">
        <v>1035</v>
      </c>
      <c r="H242" s="158" t="s">
        <v>1036</v>
      </c>
      <c r="I242" s="159" t="s">
        <v>1037</v>
      </c>
      <c r="J242" s="160"/>
      <c r="K242" s="156"/>
      <c r="L242" s="156"/>
      <c r="M242" s="171" t="s">
        <v>257</v>
      </c>
      <c r="N242" s="162"/>
      <c r="O242" s="163"/>
      <c r="P242" s="164" t="s">
        <v>894</v>
      </c>
      <c r="Q242" s="165" t="s">
        <v>298</v>
      </c>
      <c r="R242" s="165" t="s">
        <v>1038</v>
      </c>
      <c r="S242" s="151"/>
    </row>
    <row r="243" spans="1:19" ht="18" hidden="1" customHeight="1" x14ac:dyDescent="0.3">
      <c r="A243" s="76">
        <v>242</v>
      </c>
      <c r="B243" s="166" t="s">
        <v>250</v>
      </c>
      <c r="C243" s="167" t="s">
        <v>3</v>
      </c>
      <c r="D243" s="168" t="s">
        <v>47</v>
      </c>
      <c r="E243" s="80" t="s">
        <v>14</v>
      </c>
      <c r="F243" s="81"/>
      <c r="G243" s="82" t="s">
        <v>1039</v>
      </c>
      <c r="H243" s="83" t="s">
        <v>1040</v>
      </c>
      <c r="I243" s="84" t="s">
        <v>1041</v>
      </c>
      <c r="J243" s="85"/>
      <c r="K243" s="81"/>
      <c r="L243" s="81"/>
      <c r="M243" s="86" t="s">
        <v>257</v>
      </c>
      <c r="N243" s="87"/>
      <c r="O243" s="78"/>
      <c r="P243" s="88" t="s">
        <v>790</v>
      </c>
      <c r="Q243" s="89" t="s">
        <v>298</v>
      </c>
      <c r="R243" s="89" t="s">
        <v>1042</v>
      </c>
      <c r="S243" s="76"/>
    </row>
    <row r="244" spans="1:19" ht="18" hidden="1" customHeight="1" x14ac:dyDescent="0.3">
      <c r="A244" s="151">
        <v>243</v>
      </c>
      <c r="B244" s="152" t="s">
        <v>250</v>
      </c>
      <c r="C244" s="153" t="s">
        <v>3</v>
      </c>
      <c r="D244" s="154" t="s">
        <v>47</v>
      </c>
      <c r="E244" s="155" t="s">
        <v>14</v>
      </c>
      <c r="F244" s="156"/>
      <c r="G244" s="157" t="s">
        <v>1043</v>
      </c>
      <c r="H244" s="158"/>
      <c r="I244" s="159" t="s">
        <v>1044</v>
      </c>
      <c r="J244" s="160" t="s">
        <v>186</v>
      </c>
      <c r="K244" s="156"/>
      <c r="L244" s="156"/>
      <c r="M244" s="171" t="s">
        <v>257</v>
      </c>
      <c r="N244" s="162"/>
      <c r="O244" s="163"/>
      <c r="P244" s="164" t="s">
        <v>291</v>
      </c>
      <c r="Q244" s="165" t="s">
        <v>298</v>
      </c>
      <c r="R244" s="165" t="s">
        <v>1045</v>
      </c>
      <c r="S244" s="151"/>
    </row>
    <row r="245" spans="1:19" ht="18" hidden="1" customHeight="1" x14ac:dyDescent="0.3">
      <c r="A245" s="76">
        <v>244</v>
      </c>
      <c r="B245" s="166" t="s">
        <v>250</v>
      </c>
      <c r="C245" s="167" t="s">
        <v>3</v>
      </c>
      <c r="D245" s="168" t="s">
        <v>47</v>
      </c>
      <c r="E245" s="80" t="s">
        <v>14</v>
      </c>
      <c r="F245" s="81"/>
      <c r="G245" s="82" t="s">
        <v>1046</v>
      </c>
      <c r="H245" s="83" t="s">
        <v>1047</v>
      </c>
      <c r="I245" s="84" t="s">
        <v>171</v>
      </c>
      <c r="J245" s="85" t="s">
        <v>186</v>
      </c>
      <c r="K245" s="81"/>
      <c r="L245" s="81"/>
      <c r="M245" s="86" t="s">
        <v>257</v>
      </c>
      <c r="N245" s="87"/>
      <c r="O245" s="78"/>
      <c r="P245" s="88" t="s">
        <v>393</v>
      </c>
      <c r="Q245" s="89" t="s">
        <v>298</v>
      </c>
      <c r="R245" s="89" t="s">
        <v>1048</v>
      </c>
      <c r="S245" s="76"/>
    </row>
    <row r="246" spans="1:19" ht="18" hidden="1" customHeight="1" x14ac:dyDescent="0.3">
      <c r="A246" s="151">
        <v>245</v>
      </c>
      <c r="B246" s="152" t="s">
        <v>250</v>
      </c>
      <c r="C246" s="174" t="s">
        <v>4</v>
      </c>
      <c r="D246" s="154" t="s">
        <v>47</v>
      </c>
      <c r="E246" s="155" t="s">
        <v>13</v>
      </c>
      <c r="F246" s="156"/>
      <c r="G246" s="157" t="s">
        <v>1049</v>
      </c>
      <c r="H246" s="158" t="s">
        <v>1050</v>
      </c>
      <c r="I246" s="172" t="s">
        <v>1051</v>
      </c>
      <c r="J246" s="160" t="s">
        <v>186</v>
      </c>
      <c r="K246" s="156"/>
      <c r="L246" s="156"/>
      <c r="M246" s="161" t="s">
        <v>257</v>
      </c>
      <c r="N246" s="162"/>
      <c r="O246" s="163" t="s">
        <v>53</v>
      </c>
      <c r="P246" s="164" t="s">
        <v>54</v>
      </c>
      <c r="Q246" s="165" t="s">
        <v>258</v>
      </c>
      <c r="R246" s="165" t="s">
        <v>1052</v>
      </c>
      <c r="S246" s="151"/>
    </row>
    <row r="247" spans="1:19" ht="18" hidden="1" customHeight="1" x14ac:dyDescent="0.3">
      <c r="A247" s="76">
        <v>246</v>
      </c>
      <c r="B247" s="166" t="s">
        <v>250</v>
      </c>
      <c r="C247" s="175" t="s">
        <v>4</v>
      </c>
      <c r="D247" s="168" t="s">
        <v>47</v>
      </c>
      <c r="E247" s="80" t="s">
        <v>13</v>
      </c>
      <c r="F247" s="81"/>
      <c r="G247" s="82" t="s">
        <v>1053</v>
      </c>
      <c r="H247" s="83" t="s">
        <v>1054</v>
      </c>
      <c r="I247" s="170" t="s">
        <v>1055</v>
      </c>
      <c r="J247" s="85" t="s">
        <v>186</v>
      </c>
      <c r="K247" s="81"/>
      <c r="L247" s="81"/>
      <c r="M247" s="86" t="s">
        <v>257</v>
      </c>
      <c r="N247" s="87"/>
      <c r="O247" s="78" t="s">
        <v>53</v>
      </c>
      <c r="P247" s="88" t="s">
        <v>54</v>
      </c>
      <c r="Q247" s="89" t="s">
        <v>258</v>
      </c>
      <c r="R247" s="89" t="s">
        <v>1056</v>
      </c>
      <c r="S247" s="76"/>
    </row>
    <row r="248" spans="1:19" ht="18" hidden="1" customHeight="1" x14ac:dyDescent="0.3">
      <c r="A248" s="151">
        <v>247</v>
      </c>
      <c r="B248" s="152" t="s">
        <v>250</v>
      </c>
      <c r="C248" s="174" t="s">
        <v>4</v>
      </c>
      <c r="D248" s="154" t="s">
        <v>47</v>
      </c>
      <c r="E248" s="155" t="s">
        <v>13</v>
      </c>
      <c r="F248" s="156"/>
      <c r="G248" s="157" t="s">
        <v>1057</v>
      </c>
      <c r="H248" s="158" t="s">
        <v>1058</v>
      </c>
      <c r="I248" s="159"/>
      <c r="J248" s="160"/>
      <c r="K248" s="156"/>
      <c r="L248" s="156"/>
      <c r="M248" s="161"/>
      <c r="N248" s="162"/>
      <c r="O248" s="163" t="s">
        <v>53</v>
      </c>
      <c r="P248" s="164" t="s">
        <v>54</v>
      </c>
      <c r="Q248" s="165" t="s">
        <v>254</v>
      </c>
      <c r="R248" s="165" t="s">
        <v>1059</v>
      </c>
      <c r="S248" s="151"/>
    </row>
    <row r="249" spans="1:19" ht="18" hidden="1" customHeight="1" x14ac:dyDescent="0.3">
      <c r="A249" s="76">
        <v>248</v>
      </c>
      <c r="B249" s="166" t="s">
        <v>250</v>
      </c>
      <c r="C249" s="175" t="s">
        <v>4</v>
      </c>
      <c r="D249" s="168" t="s">
        <v>47</v>
      </c>
      <c r="E249" s="80" t="s">
        <v>13</v>
      </c>
      <c r="F249" s="81"/>
      <c r="G249" s="82" t="s">
        <v>1060</v>
      </c>
      <c r="H249" s="83" t="s">
        <v>1061</v>
      </c>
      <c r="I249" s="84"/>
      <c r="J249" s="85"/>
      <c r="K249" s="81"/>
      <c r="L249" s="81"/>
      <c r="M249" s="169"/>
      <c r="N249" s="87"/>
      <c r="O249" s="78" t="s">
        <v>53</v>
      </c>
      <c r="P249" s="88" t="s">
        <v>1062</v>
      </c>
      <c r="Q249" s="89" t="s">
        <v>323</v>
      </c>
      <c r="R249" s="89" t="s">
        <v>1063</v>
      </c>
      <c r="S249" s="76"/>
    </row>
    <row r="250" spans="1:19" ht="18" hidden="1" customHeight="1" x14ac:dyDescent="0.3">
      <c r="A250" s="151">
        <v>249</v>
      </c>
      <c r="B250" s="152" t="s">
        <v>250</v>
      </c>
      <c r="C250" s="174" t="s">
        <v>4</v>
      </c>
      <c r="D250" s="154" t="s">
        <v>47</v>
      </c>
      <c r="E250" s="155" t="s">
        <v>13</v>
      </c>
      <c r="F250" s="156"/>
      <c r="G250" s="157" t="s">
        <v>1064</v>
      </c>
      <c r="H250" s="158" t="s">
        <v>1065</v>
      </c>
      <c r="I250" s="159"/>
      <c r="J250" s="160"/>
      <c r="K250" s="156"/>
      <c r="L250" s="156"/>
      <c r="M250" s="161"/>
      <c r="N250" s="162"/>
      <c r="O250" s="163" t="s">
        <v>53</v>
      </c>
      <c r="P250" s="164" t="s">
        <v>54</v>
      </c>
      <c r="Q250" s="165" t="s">
        <v>323</v>
      </c>
      <c r="R250" s="165" t="s">
        <v>1066</v>
      </c>
      <c r="S250" s="151"/>
    </row>
    <row r="251" spans="1:19" ht="18" customHeight="1" x14ac:dyDescent="0.3">
      <c r="A251" s="117">
        <v>250</v>
      </c>
      <c r="B251" s="118" t="s">
        <v>250</v>
      </c>
      <c r="C251" s="119" t="s">
        <v>19</v>
      </c>
      <c r="D251" s="176" t="s">
        <v>154</v>
      </c>
      <c r="E251" s="120" t="s">
        <v>13</v>
      </c>
      <c r="F251" s="146" t="s">
        <v>48</v>
      </c>
      <c r="G251" s="122" t="s">
        <v>1067</v>
      </c>
      <c r="H251" s="123" t="s">
        <v>1068</v>
      </c>
      <c r="I251" s="124"/>
      <c r="J251" s="125" t="s">
        <v>51</v>
      </c>
      <c r="K251" s="121"/>
      <c r="L251" s="121"/>
      <c r="M251" s="126" t="s">
        <v>40</v>
      </c>
      <c r="N251" s="127" t="s">
        <v>1069</v>
      </c>
      <c r="O251" s="128" t="s">
        <v>290</v>
      </c>
      <c r="P251" s="129" t="s">
        <v>505</v>
      </c>
      <c r="Q251" s="130" t="s">
        <v>254</v>
      </c>
      <c r="R251" s="130" t="s">
        <v>1070</v>
      </c>
      <c r="S251" s="117"/>
    </row>
    <row r="252" spans="1:19" ht="18" customHeight="1" x14ac:dyDescent="0.3">
      <c r="A252" s="117">
        <v>251</v>
      </c>
      <c r="B252" s="118" t="s">
        <v>250</v>
      </c>
      <c r="C252" s="119" t="s">
        <v>19</v>
      </c>
      <c r="D252" s="176" t="s">
        <v>154</v>
      </c>
      <c r="E252" s="120" t="s">
        <v>13</v>
      </c>
      <c r="F252" s="121"/>
      <c r="G252" s="122" t="s">
        <v>1071</v>
      </c>
      <c r="H252" s="123" t="s">
        <v>1072</v>
      </c>
      <c r="I252" s="124"/>
      <c r="J252" s="125" t="s">
        <v>51</v>
      </c>
      <c r="K252" s="121"/>
      <c r="L252" s="121"/>
      <c r="M252" s="126" t="s">
        <v>40</v>
      </c>
      <c r="N252" s="127" t="s">
        <v>1073</v>
      </c>
      <c r="O252" s="128" t="s">
        <v>290</v>
      </c>
      <c r="P252" s="129" t="s">
        <v>54</v>
      </c>
      <c r="Q252" s="130" t="s">
        <v>264</v>
      </c>
      <c r="R252" s="130" t="s">
        <v>1074</v>
      </c>
      <c r="S252" s="117"/>
    </row>
    <row r="253" spans="1:19" ht="18" hidden="1" customHeight="1" x14ac:dyDescent="0.3">
      <c r="A253" s="131">
        <v>252</v>
      </c>
      <c r="B253" s="132" t="s">
        <v>250</v>
      </c>
      <c r="C253" s="133" t="s">
        <v>19</v>
      </c>
      <c r="D253" s="177" t="s">
        <v>154</v>
      </c>
      <c r="E253" s="134" t="s">
        <v>13</v>
      </c>
      <c r="F253" s="135"/>
      <c r="G253" s="136" t="s">
        <v>1075</v>
      </c>
      <c r="H253" s="137" t="s">
        <v>1076</v>
      </c>
      <c r="I253" s="138"/>
      <c r="J253" s="139"/>
      <c r="K253" s="135"/>
      <c r="L253" s="135"/>
      <c r="M253" s="140"/>
      <c r="N253" s="141"/>
      <c r="O253" s="142" t="s">
        <v>290</v>
      </c>
      <c r="P253" s="143" t="s">
        <v>291</v>
      </c>
      <c r="Q253" s="144" t="s">
        <v>264</v>
      </c>
      <c r="R253" s="144" t="s">
        <v>1077</v>
      </c>
      <c r="S253" s="131"/>
    </row>
    <row r="254" spans="1:19" ht="18" hidden="1" customHeight="1" x14ac:dyDescent="0.3">
      <c r="A254" s="131">
        <v>253</v>
      </c>
      <c r="B254" s="132" t="s">
        <v>250</v>
      </c>
      <c r="C254" s="133" t="s">
        <v>19</v>
      </c>
      <c r="D254" s="177" t="s">
        <v>154</v>
      </c>
      <c r="E254" s="134" t="s">
        <v>13</v>
      </c>
      <c r="F254" s="135"/>
      <c r="G254" s="136" t="s">
        <v>1078</v>
      </c>
      <c r="H254" s="137" t="s">
        <v>1079</v>
      </c>
      <c r="I254" s="138"/>
      <c r="J254" s="139" t="s">
        <v>186</v>
      </c>
      <c r="K254" s="135"/>
      <c r="L254" s="135"/>
      <c r="M254" s="140"/>
      <c r="N254" s="141"/>
      <c r="O254" s="142" t="s">
        <v>290</v>
      </c>
      <c r="P254" s="143" t="s">
        <v>54</v>
      </c>
      <c r="Q254" s="144" t="s">
        <v>264</v>
      </c>
      <c r="R254" s="144" t="s">
        <v>1080</v>
      </c>
      <c r="S254" s="131"/>
    </row>
    <row r="255" spans="1:19" ht="18" hidden="1" customHeight="1" x14ac:dyDescent="0.3">
      <c r="A255" s="131">
        <v>254</v>
      </c>
      <c r="B255" s="132" t="s">
        <v>250</v>
      </c>
      <c r="C255" s="133" t="s">
        <v>19</v>
      </c>
      <c r="D255" s="177" t="s">
        <v>154</v>
      </c>
      <c r="E255" s="134" t="s">
        <v>14</v>
      </c>
      <c r="F255" s="135"/>
      <c r="G255" s="136" t="s">
        <v>1081</v>
      </c>
      <c r="H255" s="137" t="s">
        <v>1082</v>
      </c>
      <c r="I255" s="138"/>
      <c r="J255" s="139"/>
      <c r="K255" s="135"/>
      <c r="L255" s="135"/>
      <c r="M255" s="140"/>
      <c r="N255" s="141"/>
      <c r="O255" s="142"/>
      <c r="P255" s="143" t="s">
        <v>54</v>
      </c>
      <c r="Q255" s="144" t="s">
        <v>292</v>
      </c>
      <c r="R255" s="144" t="s">
        <v>1083</v>
      </c>
      <c r="S255" s="131"/>
    </row>
    <row r="256" spans="1:19" ht="18" hidden="1" customHeight="1" x14ac:dyDescent="0.3">
      <c r="A256" s="131">
        <v>255</v>
      </c>
      <c r="B256" s="132" t="s">
        <v>250</v>
      </c>
      <c r="C256" s="133" t="s">
        <v>19</v>
      </c>
      <c r="D256" s="177" t="s">
        <v>154</v>
      </c>
      <c r="E256" s="134" t="s">
        <v>14</v>
      </c>
      <c r="F256" s="135"/>
      <c r="G256" s="136" t="s">
        <v>1084</v>
      </c>
      <c r="H256" s="137" t="s">
        <v>1085</v>
      </c>
      <c r="I256" s="138"/>
      <c r="J256" s="139"/>
      <c r="K256" s="135"/>
      <c r="L256" s="135"/>
      <c r="M256" s="148" t="s">
        <v>40</v>
      </c>
      <c r="N256" s="141" t="s">
        <v>1086</v>
      </c>
      <c r="O256" s="142"/>
      <c r="P256" s="143" t="s">
        <v>54</v>
      </c>
      <c r="Q256" s="144" t="s">
        <v>60</v>
      </c>
      <c r="R256" s="144" t="s">
        <v>1087</v>
      </c>
      <c r="S256" s="131"/>
    </row>
    <row r="257" spans="1:19" ht="18" hidden="1" customHeight="1" x14ac:dyDescent="0.3">
      <c r="A257" s="131">
        <v>256</v>
      </c>
      <c r="B257" s="132" t="s">
        <v>250</v>
      </c>
      <c r="C257" s="133" t="s">
        <v>19</v>
      </c>
      <c r="D257" s="177" t="s">
        <v>154</v>
      </c>
      <c r="E257" s="134" t="s">
        <v>14</v>
      </c>
      <c r="F257" s="135"/>
      <c r="G257" s="136" t="s">
        <v>1088</v>
      </c>
      <c r="H257" s="137" t="s">
        <v>1089</v>
      </c>
      <c r="I257" s="138"/>
      <c r="J257" s="139"/>
      <c r="K257" s="135"/>
      <c r="L257" s="135"/>
      <c r="M257" s="148" t="s">
        <v>40</v>
      </c>
      <c r="N257" s="141" t="s">
        <v>1090</v>
      </c>
      <c r="O257" s="142"/>
      <c r="P257" s="143" t="s">
        <v>340</v>
      </c>
      <c r="Q257" s="144" t="s">
        <v>298</v>
      </c>
      <c r="R257" s="144" t="s">
        <v>1091</v>
      </c>
      <c r="S257" s="131"/>
    </row>
    <row r="258" spans="1:19" ht="18" hidden="1" customHeight="1" x14ac:dyDescent="0.3">
      <c r="A258" s="131">
        <v>257</v>
      </c>
      <c r="B258" s="132" t="s">
        <v>250</v>
      </c>
      <c r="C258" s="133" t="s">
        <v>19</v>
      </c>
      <c r="D258" s="177" t="s">
        <v>154</v>
      </c>
      <c r="E258" s="134" t="s">
        <v>14</v>
      </c>
      <c r="F258" s="135"/>
      <c r="G258" s="136" t="s">
        <v>1092</v>
      </c>
      <c r="H258" s="137" t="s">
        <v>1093</v>
      </c>
      <c r="I258" s="138"/>
      <c r="J258" s="139"/>
      <c r="K258" s="135"/>
      <c r="L258" s="135"/>
      <c r="M258" s="148" t="s">
        <v>40</v>
      </c>
      <c r="N258" s="141" t="s">
        <v>1094</v>
      </c>
      <c r="O258" s="142"/>
      <c r="P258" s="143" t="s">
        <v>763</v>
      </c>
      <c r="Q258" s="144" t="s">
        <v>298</v>
      </c>
      <c r="R258" s="144" t="s">
        <v>1095</v>
      </c>
      <c r="S258" s="131"/>
    </row>
    <row r="259" spans="1:19" ht="18" hidden="1" customHeight="1" x14ac:dyDescent="0.3">
      <c r="A259" s="131">
        <v>258</v>
      </c>
      <c r="B259" s="132" t="s">
        <v>250</v>
      </c>
      <c r="C259" s="133" t="s">
        <v>19</v>
      </c>
      <c r="D259" s="177" t="s">
        <v>154</v>
      </c>
      <c r="E259" s="134" t="s">
        <v>14</v>
      </c>
      <c r="F259" s="135"/>
      <c r="G259" s="136" t="s">
        <v>1096</v>
      </c>
      <c r="H259" s="137" t="s">
        <v>1097</v>
      </c>
      <c r="I259" s="138"/>
      <c r="J259" s="139"/>
      <c r="K259" s="135"/>
      <c r="L259" s="135"/>
      <c r="M259" s="148" t="s">
        <v>40</v>
      </c>
      <c r="N259" s="141" t="s">
        <v>1094</v>
      </c>
      <c r="O259" s="142"/>
      <c r="P259" s="143" t="s">
        <v>54</v>
      </c>
      <c r="Q259" s="144" t="s">
        <v>298</v>
      </c>
      <c r="R259" s="144" t="s">
        <v>1098</v>
      </c>
      <c r="S259" s="131"/>
    </row>
    <row r="260" spans="1:19" ht="18" customHeight="1" x14ac:dyDescent="0.3">
      <c r="A260" s="117">
        <v>259</v>
      </c>
      <c r="B260" s="118" t="s">
        <v>250</v>
      </c>
      <c r="C260" s="119" t="s">
        <v>19</v>
      </c>
      <c r="D260" s="176" t="s">
        <v>154</v>
      </c>
      <c r="E260" s="120" t="s">
        <v>13</v>
      </c>
      <c r="F260" s="121"/>
      <c r="G260" s="122" t="s">
        <v>1099</v>
      </c>
      <c r="H260" s="123" t="s">
        <v>1100</v>
      </c>
      <c r="I260" s="124"/>
      <c r="J260" s="125" t="s">
        <v>51</v>
      </c>
      <c r="K260" s="121"/>
      <c r="L260" s="121"/>
      <c r="M260" s="126" t="s">
        <v>40</v>
      </c>
      <c r="N260" s="127" t="s">
        <v>1101</v>
      </c>
      <c r="O260" s="128" t="s">
        <v>290</v>
      </c>
      <c r="P260" s="129" t="s">
        <v>54</v>
      </c>
      <c r="Q260" s="130" t="s">
        <v>264</v>
      </c>
      <c r="R260" s="130" t="s">
        <v>1102</v>
      </c>
      <c r="S260" s="117"/>
    </row>
    <row r="261" spans="1:19" ht="18" hidden="1" customHeight="1" x14ac:dyDescent="0.3">
      <c r="A261" s="131">
        <v>260</v>
      </c>
      <c r="B261" s="132" t="s">
        <v>250</v>
      </c>
      <c r="C261" s="133" t="s">
        <v>19</v>
      </c>
      <c r="D261" s="177" t="s">
        <v>154</v>
      </c>
      <c r="E261" s="134" t="s">
        <v>14</v>
      </c>
      <c r="F261" s="135"/>
      <c r="G261" s="136" t="s">
        <v>1103</v>
      </c>
      <c r="H261" s="137" t="s">
        <v>1104</v>
      </c>
      <c r="I261" s="138"/>
      <c r="J261" s="139"/>
      <c r="K261" s="135"/>
      <c r="L261" s="135"/>
      <c r="M261" s="148" t="s">
        <v>40</v>
      </c>
      <c r="N261" s="141" t="s">
        <v>1105</v>
      </c>
      <c r="O261" s="142"/>
      <c r="P261" s="143" t="s">
        <v>340</v>
      </c>
      <c r="Q261" s="144" t="s">
        <v>60</v>
      </c>
      <c r="R261" s="144" t="s">
        <v>1106</v>
      </c>
      <c r="S261" s="131"/>
    </row>
    <row r="262" spans="1:19" ht="18" hidden="1" customHeight="1" x14ac:dyDescent="0.3">
      <c r="A262" s="131">
        <v>261</v>
      </c>
      <c r="B262" s="132" t="s">
        <v>250</v>
      </c>
      <c r="C262" s="133" t="s">
        <v>19</v>
      </c>
      <c r="D262" s="177" t="s">
        <v>154</v>
      </c>
      <c r="E262" s="134" t="s">
        <v>14</v>
      </c>
      <c r="F262" s="135"/>
      <c r="G262" s="136" t="s">
        <v>1107</v>
      </c>
      <c r="H262" s="137" t="s">
        <v>1108</v>
      </c>
      <c r="I262" s="138"/>
      <c r="J262" s="139"/>
      <c r="K262" s="135"/>
      <c r="L262" s="135"/>
      <c r="M262" s="148" t="s">
        <v>40</v>
      </c>
      <c r="N262" s="141" t="s">
        <v>1109</v>
      </c>
      <c r="O262" s="142"/>
      <c r="P262" s="143" t="s">
        <v>333</v>
      </c>
      <c r="Q262" s="144" t="s">
        <v>298</v>
      </c>
      <c r="R262" s="144" t="s">
        <v>1110</v>
      </c>
      <c r="S262" s="131"/>
    </row>
    <row r="263" spans="1:19" ht="18" hidden="1" customHeight="1" x14ac:dyDescent="0.3">
      <c r="A263" s="131">
        <v>262</v>
      </c>
      <c r="B263" s="132" t="s">
        <v>250</v>
      </c>
      <c r="C263" s="133" t="s">
        <v>19</v>
      </c>
      <c r="D263" s="177" t="s">
        <v>154</v>
      </c>
      <c r="E263" s="134" t="s">
        <v>14</v>
      </c>
      <c r="F263" s="135"/>
      <c r="G263" s="136" t="s">
        <v>1111</v>
      </c>
      <c r="H263" s="137" t="s">
        <v>1112</v>
      </c>
      <c r="I263" s="138"/>
      <c r="J263" s="139"/>
      <c r="K263" s="135"/>
      <c r="L263" s="135"/>
      <c r="M263" s="148" t="s">
        <v>40</v>
      </c>
      <c r="N263" s="141" t="s">
        <v>1113</v>
      </c>
      <c r="O263" s="142"/>
      <c r="P263" s="143" t="s">
        <v>1114</v>
      </c>
      <c r="Q263" s="144" t="s">
        <v>292</v>
      </c>
      <c r="R263" s="144" t="s">
        <v>1115</v>
      </c>
      <c r="S263" s="131"/>
    </row>
    <row r="264" spans="1:19" ht="18" hidden="1" customHeight="1" x14ac:dyDescent="0.3">
      <c r="A264" s="131">
        <v>263</v>
      </c>
      <c r="B264" s="132" t="s">
        <v>250</v>
      </c>
      <c r="C264" s="133" t="s">
        <v>19</v>
      </c>
      <c r="D264" s="177" t="s">
        <v>154</v>
      </c>
      <c r="E264" s="134" t="s">
        <v>14</v>
      </c>
      <c r="F264" s="135"/>
      <c r="G264" s="136" t="s">
        <v>1116</v>
      </c>
      <c r="H264" s="137" t="s">
        <v>1117</v>
      </c>
      <c r="I264" s="138"/>
      <c r="J264" s="139"/>
      <c r="K264" s="135"/>
      <c r="L264" s="135"/>
      <c r="M264" s="148" t="s">
        <v>257</v>
      </c>
      <c r="N264" s="141"/>
      <c r="O264" s="142"/>
      <c r="P264" s="143" t="s">
        <v>340</v>
      </c>
      <c r="Q264" s="144" t="s">
        <v>292</v>
      </c>
      <c r="R264" s="144" t="s">
        <v>1118</v>
      </c>
      <c r="S264" s="131"/>
    </row>
    <row r="265" spans="1:19" ht="18" hidden="1" customHeight="1" x14ac:dyDescent="0.3">
      <c r="A265" s="131">
        <v>264</v>
      </c>
      <c r="B265" s="132" t="s">
        <v>250</v>
      </c>
      <c r="C265" s="133" t="s">
        <v>19</v>
      </c>
      <c r="D265" s="177" t="s">
        <v>154</v>
      </c>
      <c r="E265" s="134" t="s">
        <v>14</v>
      </c>
      <c r="F265" s="135"/>
      <c r="G265" s="136" t="s">
        <v>1119</v>
      </c>
      <c r="H265" s="137" t="s">
        <v>1120</v>
      </c>
      <c r="I265" s="138"/>
      <c r="J265" s="139"/>
      <c r="K265" s="135"/>
      <c r="L265" s="135"/>
      <c r="M265" s="148" t="s">
        <v>257</v>
      </c>
      <c r="N265" s="141"/>
      <c r="O265" s="142"/>
      <c r="P265" s="143" t="s">
        <v>1121</v>
      </c>
      <c r="Q265" s="144" t="s">
        <v>345</v>
      </c>
      <c r="R265" s="144" t="s">
        <v>1122</v>
      </c>
      <c r="S265" s="131"/>
    </row>
    <row r="266" spans="1:19" ht="18" hidden="1" customHeight="1" x14ac:dyDescent="0.3">
      <c r="A266" s="131">
        <v>265</v>
      </c>
      <c r="B266" s="132" t="s">
        <v>250</v>
      </c>
      <c r="C266" s="133" t="s">
        <v>19</v>
      </c>
      <c r="D266" s="177" t="s">
        <v>154</v>
      </c>
      <c r="E266" s="134" t="s">
        <v>14</v>
      </c>
      <c r="F266" s="135"/>
      <c r="G266" s="136" t="s">
        <v>1123</v>
      </c>
      <c r="H266" s="137" t="s">
        <v>1124</v>
      </c>
      <c r="I266" s="138"/>
      <c r="J266" s="139" t="s">
        <v>186</v>
      </c>
      <c r="K266" s="135"/>
      <c r="L266" s="135"/>
      <c r="M266" s="148" t="s">
        <v>257</v>
      </c>
      <c r="N266" s="141"/>
      <c r="O266" s="142"/>
      <c r="P266" s="143" t="s">
        <v>329</v>
      </c>
      <c r="Q266" s="144" t="s">
        <v>292</v>
      </c>
      <c r="R266" s="144" t="s">
        <v>1125</v>
      </c>
      <c r="S266" s="131"/>
    </row>
    <row r="267" spans="1:19" ht="18" hidden="1" customHeight="1" x14ac:dyDescent="0.3">
      <c r="A267" s="131">
        <v>266</v>
      </c>
      <c r="B267" s="132" t="s">
        <v>250</v>
      </c>
      <c r="C267" s="133" t="s">
        <v>19</v>
      </c>
      <c r="D267" s="177" t="s">
        <v>154</v>
      </c>
      <c r="E267" s="134" t="s">
        <v>14</v>
      </c>
      <c r="F267" s="135"/>
      <c r="G267" s="136" t="s">
        <v>1126</v>
      </c>
      <c r="H267" s="137" t="s">
        <v>1127</v>
      </c>
      <c r="I267" s="138"/>
      <c r="J267" s="139"/>
      <c r="K267" s="135"/>
      <c r="L267" s="135"/>
      <c r="M267" s="148" t="s">
        <v>257</v>
      </c>
      <c r="N267" s="141"/>
      <c r="O267" s="142"/>
      <c r="P267" s="143" t="s">
        <v>340</v>
      </c>
      <c r="Q267" s="144" t="s">
        <v>298</v>
      </c>
      <c r="R267" s="144" t="s">
        <v>1128</v>
      </c>
      <c r="S267" s="131"/>
    </row>
    <row r="268" spans="1:19" ht="18" hidden="1" customHeight="1" x14ac:dyDescent="0.3">
      <c r="A268" s="131">
        <v>267</v>
      </c>
      <c r="B268" s="132" t="s">
        <v>250</v>
      </c>
      <c r="C268" s="133" t="s">
        <v>19</v>
      </c>
      <c r="D268" s="177" t="s">
        <v>154</v>
      </c>
      <c r="E268" s="134" t="s">
        <v>14</v>
      </c>
      <c r="F268" s="135"/>
      <c r="G268" s="136" t="s">
        <v>1129</v>
      </c>
      <c r="H268" s="137" t="s">
        <v>1130</v>
      </c>
      <c r="I268" s="138"/>
      <c r="J268" s="139"/>
      <c r="K268" s="135"/>
      <c r="L268" s="135"/>
      <c r="M268" s="148" t="s">
        <v>257</v>
      </c>
      <c r="N268" s="141"/>
      <c r="O268" s="142"/>
      <c r="P268" s="143" t="s">
        <v>1131</v>
      </c>
      <c r="Q268" s="144" t="s">
        <v>298</v>
      </c>
      <c r="R268" s="144" t="s">
        <v>1132</v>
      </c>
      <c r="S268" s="131"/>
    </row>
    <row r="269" spans="1:19" ht="18" hidden="1" customHeight="1" x14ac:dyDescent="0.3">
      <c r="A269" s="131">
        <v>268</v>
      </c>
      <c r="B269" s="132" t="s">
        <v>250</v>
      </c>
      <c r="C269" s="133" t="s">
        <v>19</v>
      </c>
      <c r="D269" s="177" t="s">
        <v>154</v>
      </c>
      <c r="E269" s="134" t="s">
        <v>14</v>
      </c>
      <c r="F269" s="135"/>
      <c r="G269" s="136" t="s">
        <v>1133</v>
      </c>
      <c r="H269" s="137" t="s">
        <v>1134</v>
      </c>
      <c r="I269" s="138"/>
      <c r="J269" s="139" t="s">
        <v>186</v>
      </c>
      <c r="K269" s="135"/>
      <c r="L269" s="135"/>
      <c r="M269" s="148" t="s">
        <v>257</v>
      </c>
      <c r="N269" s="141"/>
      <c r="O269" s="142"/>
      <c r="P269" s="143" t="s">
        <v>905</v>
      </c>
      <c r="Q269" s="144" t="s">
        <v>298</v>
      </c>
      <c r="R269" s="144" t="s">
        <v>1135</v>
      </c>
      <c r="S269" s="131"/>
    </row>
    <row r="270" spans="1:19" ht="18" hidden="1" customHeight="1" x14ac:dyDescent="0.3">
      <c r="A270" s="131">
        <v>269</v>
      </c>
      <c r="B270" s="132" t="s">
        <v>250</v>
      </c>
      <c r="C270" s="133" t="s">
        <v>19</v>
      </c>
      <c r="D270" s="177" t="s">
        <v>154</v>
      </c>
      <c r="E270" s="134" t="s">
        <v>14</v>
      </c>
      <c r="F270" s="135"/>
      <c r="G270" s="136" t="s">
        <v>1136</v>
      </c>
      <c r="H270" s="137" t="s">
        <v>1137</v>
      </c>
      <c r="I270" s="138"/>
      <c r="J270" s="139"/>
      <c r="K270" s="135"/>
      <c r="L270" s="135"/>
      <c r="M270" s="148" t="s">
        <v>257</v>
      </c>
      <c r="N270" s="141"/>
      <c r="O270" s="142"/>
      <c r="P270" s="143" t="s">
        <v>167</v>
      </c>
      <c r="Q270" s="144" t="s">
        <v>298</v>
      </c>
      <c r="R270" s="144" t="s">
        <v>1138</v>
      </c>
      <c r="S270" s="131"/>
    </row>
    <row r="271" spans="1:19" ht="18" hidden="1" customHeight="1" x14ac:dyDescent="0.3">
      <c r="A271" s="131">
        <v>270</v>
      </c>
      <c r="B271" s="132" t="s">
        <v>250</v>
      </c>
      <c r="C271" s="133" t="s">
        <v>19</v>
      </c>
      <c r="D271" s="177" t="s">
        <v>154</v>
      </c>
      <c r="E271" s="134" t="s">
        <v>14</v>
      </c>
      <c r="F271" s="135"/>
      <c r="G271" s="136" t="s">
        <v>1139</v>
      </c>
      <c r="H271" s="137" t="s">
        <v>1140</v>
      </c>
      <c r="I271" s="138"/>
      <c r="J271" s="139"/>
      <c r="K271" s="135"/>
      <c r="L271" s="135"/>
      <c r="M271" s="148" t="s">
        <v>257</v>
      </c>
      <c r="N271" s="141"/>
      <c r="O271" s="142"/>
      <c r="P271" s="143" t="s">
        <v>54</v>
      </c>
      <c r="Q271" s="144" t="s">
        <v>298</v>
      </c>
      <c r="R271" s="144" t="s">
        <v>1141</v>
      </c>
      <c r="S271" s="131"/>
    </row>
    <row r="272" spans="1:19" ht="18" hidden="1" customHeight="1" x14ac:dyDescent="0.3">
      <c r="A272" s="131">
        <v>271</v>
      </c>
      <c r="B272" s="132" t="s">
        <v>250</v>
      </c>
      <c r="C272" s="133" t="s">
        <v>19</v>
      </c>
      <c r="D272" s="177" t="s">
        <v>154</v>
      </c>
      <c r="E272" s="134" t="s">
        <v>14</v>
      </c>
      <c r="F272" s="135"/>
      <c r="G272" s="136" t="s">
        <v>1142</v>
      </c>
      <c r="H272" s="137" t="s">
        <v>1143</v>
      </c>
      <c r="I272" s="138"/>
      <c r="J272" s="139"/>
      <c r="K272" s="135"/>
      <c r="L272" s="135"/>
      <c r="M272" s="148" t="s">
        <v>257</v>
      </c>
      <c r="N272" s="141"/>
      <c r="O272" s="142"/>
      <c r="P272" s="143" t="s">
        <v>1144</v>
      </c>
      <c r="Q272" s="144" t="s">
        <v>298</v>
      </c>
      <c r="R272" s="144" t="s">
        <v>1145</v>
      </c>
      <c r="S272" s="131"/>
    </row>
    <row r="273" spans="1:19" ht="18" hidden="1" customHeight="1" x14ac:dyDescent="0.3">
      <c r="A273" s="131">
        <v>272</v>
      </c>
      <c r="B273" s="132" t="s">
        <v>250</v>
      </c>
      <c r="C273" s="133" t="s">
        <v>19</v>
      </c>
      <c r="D273" s="177" t="s">
        <v>154</v>
      </c>
      <c r="E273" s="134" t="s">
        <v>14</v>
      </c>
      <c r="F273" s="135"/>
      <c r="G273" s="136" t="s">
        <v>1146</v>
      </c>
      <c r="H273" s="137" t="s">
        <v>1147</v>
      </c>
      <c r="I273" s="138"/>
      <c r="J273" s="139" t="s">
        <v>186</v>
      </c>
      <c r="K273" s="135"/>
      <c r="L273" s="135"/>
      <c r="M273" s="148" t="s">
        <v>257</v>
      </c>
      <c r="N273" s="141"/>
      <c r="O273" s="142"/>
      <c r="P273" s="143" t="s">
        <v>1148</v>
      </c>
      <c r="Q273" s="144" t="s">
        <v>298</v>
      </c>
      <c r="R273" s="144" t="s">
        <v>1149</v>
      </c>
      <c r="S273" s="131"/>
    </row>
    <row r="274" spans="1:19" ht="18" hidden="1" customHeight="1" x14ac:dyDescent="0.3">
      <c r="A274" s="131">
        <v>273</v>
      </c>
      <c r="B274" s="132" t="s">
        <v>250</v>
      </c>
      <c r="C274" s="133" t="s">
        <v>19</v>
      </c>
      <c r="D274" s="177" t="s">
        <v>154</v>
      </c>
      <c r="E274" s="134" t="s">
        <v>14</v>
      </c>
      <c r="F274" s="135"/>
      <c r="G274" s="136" t="s">
        <v>1150</v>
      </c>
      <c r="H274" s="137" t="s">
        <v>1151</v>
      </c>
      <c r="I274" s="138"/>
      <c r="J274" s="139"/>
      <c r="K274" s="135"/>
      <c r="L274" s="135"/>
      <c r="M274" s="148" t="s">
        <v>257</v>
      </c>
      <c r="N274" s="141"/>
      <c r="O274" s="142"/>
      <c r="P274" s="143" t="s">
        <v>54</v>
      </c>
      <c r="Q274" s="144" t="s">
        <v>298</v>
      </c>
      <c r="R274" s="144" t="s">
        <v>1152</v>
      </c>
      <c r="S274" s="131"/>
    </row>
    <row r="275" spans="1:19" ht="18" hidden="1" customHeight="1" x14ac:dyDescent="0.3">
      <c r="A275" s="131">
        <v>274</v>
      </c>
      <c r="B275" s="132" t="s">
        <v>250</v>
      </c>
      <c r="C275" s="133" t="s">
        <v>19</v>
      </c>
      <c r="D275" s="177" t="s">
        <v>154</v>
      </c>
      <c r="E275" s="134" t="s">
        <v>14</v>
      </c>
      <c r="F275" s="135"/>
      <c r="G275" s="136" t="s">
        <v>1153</v>
      </c>
      <c r="H275" s="137" t="s">
        <v>1154</v>
      </c>
      <c r="I275" s="138"/>
      <c r="J275" s="139" t="s">
        <v>186</v>
      </c>
      <c r="K275" s="135"/>
      <c r="L275" s="135"/>
      <c r="M275" s="148" t="s">
        <v>257</v>
      </c>
      <c r="N275" s="141"/>
      <c r="O275" s="142"/>
      <c r="P275" s="143" t="s">
        <v>1155</v>
      </c>
      <c r="Q275" s="144" t="s">
        <v>298</v>
      </c>
      <c r="R275" s="144" t="s">
        <v>1156</v>
      </c>
      <c r="S275" s="131"/>
    </row>
    <row r="276" spans="1:19" ht="18" hidden="1" customHeight="1" x14ac:dyDescent="0.3">
      <c r="A276" s="131">
        <v>275</v>
      </c>
      <c r="B276" s="132" t="s">
        <v>250</v>
      </c>
      <c r="C276" s="133" t="s">
        <v>19</v>
      </c>
      <c r="D276" s="177" t="s">
        <v>154</v>
      </c>
      <c r="E276" s="134" t="s">
        <v>14</v>
      </c>
      <c r="F276" s="135"/>
      <c r="G276" s="136" t="s">
        <v>1157</v>
      </c>
      <c r="H276" s="137" t="s">
        <v>1158</v>
      </c>
      <c r="I276" s="138"/>
      <c r="J276" s="139"/>
      <c r="K276" s="135"/>
      <c r="L276" s="135"/>
      <c r="M276" s="148" t="s">
        <v>257</v>
      </c>
      <c r="N276" s="141"/>
      <c r="O276" s="142"/>
      <c r="P276" s="143" t="s">
        <v>1159</v>
      </c>
      <c r="Q276" s="144" t="s">
        <v>298</v>
      </c>
      <c r="R276" s="144" t="s">
        <v>1160</v>
      </c>
      <c r="S276" s="131"/>
    </row>
    <row r="277" spans="1:19" ht="18" hidden="1" customHeight="1" x14ac:dyDescent="0.3">
      <c r="A277" s="131">
        <v>276</v>
      </c>
      <c r="B277" s="132" t="s">
        <v>250</v>
      </c>
      <c r="C277" s="133" t="s">
        <v>19</v>
      </c>
      <c r="D277" s="177" t="s">
        <v>154</v>
      </c>
      <c r="E277" s="134" t="s">
        <v>14</v>
      </c>
      <c r="F277" s="135"/>
      <c r="G277" s="136" t="s">
        <v>1161</v>
      </c>
      <c r="H277" s="137" t="s">
        <v>1162</v>
      </c>
      <c r="I277" s="138"/>
      <c r="J277" s="139"/>
      <c r="K277" s="135"/>
      <c r="L277" s="135"/>
      <c r="M277" s="148" t="s">
        <v>257</v>
      </c>
      <c r="N277" s="141"/>
      <c r="O277" s="142"/>
      <c r="P277" s="143" t="s">
        <v>1163</v>
      </c>
      <c r="Q277" s="144" t="s">
        <v>298</v>
      </c>
      <c r="R277" s="144" t="s">
        <v>1164</v>
      </c>
      <c r="S277" s="131"/>
    </row>
    <row r="278" spans="1:19" ht="18" hidden="1" customHeight="1" x14ac:dyDescent="0.3">
      <c r="A278" s="131">
        <v>277</v>
      </c>
      <c r="B278" s="132" t="s">
        <v>250</v>
      </c>
      <c r="C278" s="133" t="s">
        <v>19</v>
      </c>
      <c r="D278" s="177" t="s">
        <v>154</v>
      </c>
      <c r="E278" s="134" t="s">
        <v>14</v>
      </c>
      <c r="F278" s="135"/>
      <c r="G278" s="136" t="s">
        <v>1165</v>
      </c>
      <c r="H278" s="137" t="s">
        <v>1166</v>
      </c>
      <c r="I278" s="138"/>
      <c r="J278" s="139"/>
      <c r="K278" s="135"/>
      <c r="L278" s="135"/>
      <c r="M278" s="148" t="s">
        <v>257</v>
      </c>
      <c r="N278" s="141"/>
      <c r="O278" s="142"/>
      <c r="P278" s="143" t="s">
        <v>340</v>
      </c>
      <c r="Q278" s="144" t="s">
        <v>298</v>
      </c>
      <c r="R278" s="144" t="s">
        <v>1167</v>
      </c>
      <c r="S278" s="131"/>
    </row>
    <row r="279" spans="1:19" ht="18" hidden="1" customHeight="1" x14ac:dyDescent="0.3">
      <c r="A279" s="131">
        <v>278</v>
      </c>
      <c r="B279" s="132" t="s">
        <v>250</v>
      </c>
      <c r="C279" s="133" t="s">
        <v>19</v>
      </c>
      <c r="D279" s="177" t="s">
        <v>154</v>
      </c>
      <c r="E279" s="134" t="s">
        <v>14</v>
      </c>
      <c r="F279" s="135"/>
      <c r="G279" s="136" t="s">
        <v>1168</v>
      </c>
      <c r="H279" s="137" t="s">
        <v>1169</v>
      </c>
      <c r="I279" s="138"/>
      <c r="J279" s="139" t="s">
        <v>186</v>
      </c>
      <c r="K279" s="135"/>
      <c r="L279" s="135"/>
      <c r="M279" s="148" t="s">
        <v>257</v>
      </c>
      <c r="N279" s="141"/>
      <c r="O279" s="142"/>
      <c r="P279" s="143" t="s">
        <v>1144</v>
      </c>
      <c r="Q279" s="144" t="s">
        <v>298</v>
      </c>
      <c r="R279" s="144" t="s">
        <v>1170</v>
      </c>
      <c r="S279" s="131"/>
    </row>
    <row r="280" spans="1:19" ht="18" hidden="1" customHeight="1" x14ac:dyDescent="0.3">
      <c r="A280" s="131">
        <v>279</v>
      </c>
      <c r="B280" s="132" t="s">
        <v>250</v>
      </c>
      <c r="C280" s="133" t="s">
        <v>19</v>
      </c>
      <c r="D280" s="177" t="s">
        <v>154</v>
      </c>
      <c r="E280" s="134" t="s">
        <v>14</v>
      </c>
      <c r="F280" s="135"/>
      <c r="G280" s="136" t="s">
        <v>1171</v>
      </c>
      <c r="H280" s="137" t="s">
        <v>1172</v>
      </c>
      <c r="I280" s="138"/>
      <c r="J280" s="139"/>
      <c r="K280" s="135"/>
      <c r="L280" s="135"/>
      <c r="M280" s="148" t="s">
        <v>257</v>
      </c>
      <c r="N280" s="141"/>
      <c r="O280" s="142"/>
      <c r="P280" s="143" t="s">
        <v>1173</v>
      </c>
      <c r="Q280" s="144" t="s">
        <v>298</v>
      </c>
      <c r="R280" s="144" t="s">
        <v>1174</v>
      </c>
      <c r="S280" s="131"/>
    </row>
    <row r="281" spans="1:19" ht="18" hidden="1" customHeight="1" x14ac:dyDescent="0.3">
      <c r="A281" s="131">
        <v>280</v>
      </c>
      <c r="B281" s="132" t="s">
        <v>250</v>
      </c>
      <c r="C281" s="133" t="s">
        <v>19</v>
      </c>
      <c r="D281" s="177" t="s">
        <v>154</v>
      </c>
      <c r="E281" s="134" t="s">
        <v>14</v>
      </c>
      <c r="F281" s="135"/>
      <c r="G281" s="136" t="s">
        <v>1175</v>
      </c>
      <c r="H281" s="137" t="s">
        <v>1176</v>
      </c>
      <c r="I281" s="138"/>
      <c r="J281" s="139" t="s">
        <v>186</v>
      </c>
      <c r="K281" s="135"/>
      <c r="L281" s="135"/>
      <c r="M281" s="148" t="s">
        <v>257</v>
      </c>
      <c r="N281" s="141"/>
      <c r="O281" s="142"/>
      <c r="P281" s="143" t="s">
        <v>54</v>
      </c>
      <c r="Q281" s="144" t="s">
        <v>298</v>
      </c>
      <c r="R281" s="144" t="s">
        <v>1177</v>
      </c>
      <c r="S281" s="131"/>
    </row>
    <row r="282" spans="1:19" ht="18" hidden="1" customHeight="1" x14ac:dyDescent="0.3">
      <c r="A282" s="131">
        <v>281</v>
      </c>
      <c r="B282" s="132" t="s">
        <v>250</v>
      </c>
      <c r="C282" s="133" t="s">
        <v>19</v>
      </c>
      <c r="D282" s="177" t="s">
        <v>154</v>
      </c>
      <c r="E282" s="134" t="s">
        <v>14</v>
      </c>
      <c r="F282" s="135"/>
      <c r="G282" s="136" t="s">
        <v>1178</v>
      </c>
      <c r="H282" s="137" t="s">
        <v>1179</v>
      </c>
      <c r="I282" s="138"/>
      <c r="J282" s="139" t="s">
        <v>186</v>
      </c>
      <c r="K282" s="135"/>
      <c r="L282" s="135"/>
      <c r="M282" s="148" t="s">
        <v>257</v>
      </c>
      <c r="N282" s="141"/>
      <c r="O282" s="142"/>
      <c r="P282" s="143" t="s">
        <v>54</v>
      </c>
      <c r="Q282" s="144" t="s">
        <v>298</v>
      </c>
      <c r="R282" s="144" t="s">
        <v>1180</v>
      </c>
      <c r="S282" s="131"/>
    </row>
    <row r="283" spans="1:19" ht="18" hidden="1" customHeight="1" x14ac:dyDescent="0.3">
      <c r="A283" s="131">
        <v>282</v>
      </c>
      <c r="B283" s="132" t="s">
        <v>250</v>
      </c>
      <c r="C283" s="133" t="s">
        <v>19</v>
      </c>
      <c r="D283" s="177" t="s">
        <v>154</v>
      </c>
      <c r="E283" s="134" t="s">
        <v>14</v>
      </c>
      <c r="F283" s="135"/>
      <c r="G283" s="136" t="s">
        <v>1181</v>
      </c>
      <c r="H283" s="137" t="s">
        <v>1182</v>
      </c>
      <c r="I283" s="138"/>
      <c r="J283" s="139" t="s">
        <v>186</v>
      </c>
      <c r="K283" s="135"/>
      <c r="L283" s="135"/>
      <c r="M283" s="148" t="s">
        <v>257</v>
      </c>
      <c r="N283" s="141"/>
      <c r="O283" s="142"/>
      <c r="P283" s="143" t="s">
        <v>291</v>
      </c>
      <c r="Q283" s="144" t="s">
        <v>298</v>
      </c>
      <c r="R283" s="144" t="s">
        <v>1183</v>
      </c>
      <c r="S283" s="131"/>
    </row>
    <row r="284" spans="1:19" ht="18" hidden="1" customHeight="1" x14ac:dyDescent="0.3">
      <c r="A284" s="131">
        <v>283</v>
      </c>
      <c r="B284" s="132" t="s">
        <v>250</v>
      </c>
      <c r="C284" s="133" t="s">
        <v>19</v>
      </c>
      <c r="D284" s="177" t="s">
        <v>154</v>
      </c>
      <c r="E284" s="134" t="s">
        <v>14</v>
      </c>
      <c r="F284" s="135"/>
      <c r="G284" s="136" t="s">
        <v>1184</v>
      </c>
      <c r="H284" s="137" t="s">
        <v>1185</v>
      </c>
      <c r="I284" s="138"/>
      <c r="J284" s="139" t="s">
        <v>186</v>
      </c>
      <c r="K284" s="135"/>
      <c r="L284" s="135"/>
      <c r="M284" s="148" t="s">
        <v>257</v>
      </c>
      <c r="N284" s="141"/>
      <c r="O284" s="142"/>
      <c r="P284" s="143" t="s">
        <v>340</v>
      </c>
      <c r="Q284" s="144" t="s">
        <v>298</v>
      </c>
      <c r="R284" s="144" t="s">
        <v>1186</v>
      </c>
      <c r="S284" s="131"/>
    </row>
    <row r="285" spans="1:19" ht="18" hidden="1" customHeight="1" x14ac:dyDescent="0.3">
      <c r="A285" s="131">
        <v>284</v>
      </c>
      <c r="B285" s="132" t="s">
        <v>250</v>
      </c>
      <c r="C285" s="133" t="s">
        <v>19</v>
      </c>
      <c r="D285" s="177" t="s">
        <v>154</v>
      </c>
      <c r="E285" s="134" t="s">
        <v>14</v>
      </c>
      <c r="F285" s="135"/>
      <c r="G285" s="136" t="s">
        <v>1187</v>
      </c>
      <c r="H285" s="137" t="s">
        <v>1188</v>
      </c>
      <c r="I285" s="138"/>
      <c r="J285" s="139"/>
      <c r="K285" s="135"/>
      <c r="L285" s="135"/>
      <c r="M285" s="148" t="s">
        <v>257</v>
      </c>
      <c r="N285" s="141"/>
      <c r="O285" s="142"/>
      <c r="P285" s="143" t="s">
        <v>54</v>
      </c>
      <c r="Q285" s="144" t="s">
        <v>298</v>
      </c>
      <c r="R285" s="144"/>
      <c r="S285" s="131"/>
    </row>
    <row r="286" spans="1:19" ht="18" hidden="1" customHeight="1" x14ac:dyDescent="0.3">
      <c r="A286" s="131">
        <v>285</v>
      </c>
      <c r="B286" s="132" t="s">
        <v>250</v>
      </c>
      <c r="C286" s="133" t="s">
        <v>19</v>
      </c>
      <c r="D286" s="177" t="s">
        <v>154</v>
      </c>
      <c r="E286" s="134" t="s">
        <v>14</v>
      </c>
      <c r="F286" s="135"/>
      <c r="G286" s="136" t="s">
        <v>1189</v>
      </c>
      <c r="H286" s="137" t="s">
        <v>1190</v>
      </c>
      <c r="I286" s="138"/>
      <c r="J286" s="139"/>
      <c r="K286" s="135"/>
      <c r="L286" s="135"/>
      <c r="M286" s="148" t="s">
        <v>257</v>
      </c>
      <c r="N286" s="141"/>
      <c r="O286" s="142"/>
      <c r="P286" s="143" t="s">
        <v>54</v>
      </c>
      <c r="Q286" s="144" t="s">
        <v>298</v>
      </c>
      <c r="R286" s="144" t="s">
        <v>1191</v>
      </c>
      <c r="S286" s="131"/>
    </row>
    <row r="287" spans="1:19" ht="18" hidden="1" customHeight="1" x14ac:dyDescent="0.3">
      <c r="A287" s="131">
        <v>286</v>
      </c>
      <c r="B287" s="132" t="s">
        <v>250</v>
      </c>
      <c r="C287" s="133" t="s">
        <v>19</v>
      </c>
      <c r="D287" s="177" t="s">
        <v>154</v>
      </c>
      <c r="E287" s="134" t="s">
        <v>14</v>
      </c>
      <c r="F287" s="135"/>
      <c r="G287" s="136" t="s">
        <v>1192</v>
      </c>
      <c r="H287" s="137" t="s">
        <v>1193</v>
      </c>
      <c r="I287" s="138"/>
      <c r="J287" s="139"/>
      <c r="K287" s="135"/>
      <c r="L287" s="135"/>
      <c r="M287" s="148" t="s">
        <v>257</v>
      </c>
      <c r="N287" s="141"/>
      <c r="O287" s="142"/>
      <c r="P287" s="143" t="s">
        <v>1194</v>
      </c>
      <c r="Q287" s="144" t="s">
        <v>298</v>
      </c>
      <c r="R287" s="144" t="s">
        <v>1195</v>
      </c>
      <c r="S287" s="131"/>
    </row>
    <row r="288" spans="1:19" ht="18" hidden="1" customHeight="1" x14ac:dyDescent="0.3">
      <c r="A288" s="131">
        <v>287</v>
      </c>
      <c r="B288" s="132" t="s">
        <v>250</v>
      </c>
      <c r="C288" s="133" t="s">
        <v>19</v>
      </c>
      <c r="D288" s="177" t="s">
        <v>154</v>
      </c>
      <c r="E288" s="134" t="s">
        <v>14</v>
      </c>
      <c r="F288" s="135"/>
      <c r="G288" s="136" t="s">
        <v>1196</v>
      </c>
      <c r="H288" s="137" t="s">
        <v>1197</v>
      </c>
      <c r="I288" s="138"/>
      <c r="J288" s="139" t="s">
        <v>186</v>
      </c>
      <c r="K288" s="135"/>
      <c r="L288" s="135"/>
      <c r="M288" s="148" t="s">
        <v>257</v>
      </c>
      <c r="N288" s="141"/>
      <c r="O288" s="142"/>
      <c r="P288" s="143" t="s">
        <v>1163</v>
      </c>
      <c r="Q288" s="144" t="s">
        <v>298</v>
      </c>
      <c r="R288" s="144" t="s">
        <v>1198</v>
      </c>
      <c r="S288" s="131"/>
    </row>
    <row r="289" spans="1:19" ht="18" hidden="1" customHeight="1" x14ac:dyDescent="0.3">
      <c r="A289" s="131">
        <v>288</v>
      </c>
      <c r="B289" s="132" t="s">
        <v>250</v>
      </c>
      <c r="C289" s="133" t="s">
        <v>19</v>
      </c>
      <c r="D289" s="177" t="s">
        <v>154</v>
      </c>
      <c r="E289" s="134" t="s">
        <v>14</v>
      </c>
      <c r="F289" s="135"/>
      <c r="G289" s="136" t="s">
        <v>1199</v>
      </c>
      <c r="H289" s="137" t="s">
        <v>1200</v>
      </c>
      <c r="I289" s="138"/>
      <c r="J289" s="139"/>
      <c r="K289" s="135"/>
      <c r="L289" s="135"/>
      <c r="M289" s="148" t="s">
        <v>257</v>
      </c>
      <c r="N289" s="141"/>
      <c r="O289" s="142"/>
      <c r="P289" s="143" t="s">
        <v>329</v>
      </c>
      <c r="Q289" s="144" t="s">
        <v>816</v>
      </c>
      <c r="R289" s="144" t="s">
        <v>1201</v>
      </c>
      <c r="S289" s="131"/>
    </row>
    <row r="290" spans="1:19" ht="18" hidden="1" customHeight="1" x14ac:dyDescent="0.3">
      <c r="A290" s="131">
        <v>289</v>
      </c>
      <c r="B290" s="132" t="s">
        <v>250</v>
      </c>
      <c r="C290" s="133" t="s">
        <v>19</v>
      </c>
      <c r="D290" s="177" t="s">
        <v>154</v>
      </c>
      <c r="E290" s="134" t="s">
        <v>14</v>
      </c>
      <c r="F290" s="135"/>
      <c r="G290" s="136" t="s">
        <v>1202</v>
      </c>
      <c r="H290" s="137" t="s">
        <v>1203</v>
      </c>
      <c r="I290" s="138"/>
      <c r="J290" s="139"/>
      <c r="K290" s="135"/>
      <c r="L290" s="135"/>
      <c r="M290" s="148" t="s">
        <v>257</v>
      </c>
      <c r="N290" s="141"/>
      <c r="O290" s="142"/>
      <c r="P290" s="143" t="s">
        <v>1121</v>
      </c>
      <c r="Q290" s="144" t="s">
        <v>298</v>
      </c>
      <c r="R290" s="144" t="s">
        <v>1204</v>
      </c>
      <c r="S290" s="131"/>
    </row>
    <row r="291" spans="1:19" ht="18" hidden="1" customHeight="1" x14ac:dyDescent="0.3">
      <c r="A291" s="131">
        <v>290</v>
      </c>
      <c r="B291" s="132" t="s">
        <v>250</v>
      </c>
      <c r="C291" s="133" t="s">
        <v>19</v>
      </c>
      <c r="D291" s="177" t="s">
        <v>154</v>
      </c>
      <c r="E291" s="134" t="s">
        <v>14</v>
      </c>
      <c r="F291" s="135"/>
      <c r="G291" s="136" t="s">
        <v>1205</v>
      </c>
      <c r="H291" s="137" t="s">
        <v>1206</v>
      </c>
      <c r="I291" s="138"/>
      <c r="J291" s="139"/>
      <c r="K291" s="135"/>
      <c r="L291" s="135"/>
      <c r="M291" s="148" t="s">
        <v>257</v>
      </c>
      <c r="N291" s="141"/>
      <c r="O291" s="142"/>
      <c r="P291" s="143" t="s">
        <v>54</v>
      </c>
      <c r="Q291" s="144" t="s">
        <v>298</v>
      </c>
      <c r="R291" s="144" t="s">
        <v>1207</v>
      </c>
      <c r="S291" s="131"/>
    </row>
    <row r="292" spans="1:19" ht="18" hidden="1" customHeight="1" x14ac:dyDescent="0.3">
      <c r="A292" s="131">
        <v>291</v>
      </c>
      <c r="B292" s="132" t="s">
        <v>250</v>
      </c>
      <c r="C292" s="133" t="s">
        <v>19</v>
      </c>
      <c r="D292" s="177" t="s">
        <v>154</v>
      </c>
      <c r="E292" s="134" t="s">
        <v>14</v>
      </c>
      <c r="F292" s="135"/>
      <c r="G292" s="136" t="s">
        <v>1208</v>
      </c>
      <c r="H292" s="137" t="s">
        <v>1209</v>
      </c>
      <c r="I292" s="138"/>
      <c r="J292" s="139" t="s">
        <v>186</v>
      </c>
      <c r="K292" s="135"/>
      <c r="L292" s="135"/>
      <c r="M292" s="148" t="s">
        <v>257</v>
      </c>
      <c r="N292" s="141"/>
      <c r="O292" s="142"/>
      <c r="P292" s="143" t="s">
        <v>1144</v>
      </c>
      <c r="Q292" s="144" t="s">
        <v>298</v>
      </c>
      <c r="R292" s="144" t="s">
        <v>1210</v>
      </c>
      <c r="S292" s="131"/>
    </row>
    <row r="293" spans="1:19" ht="18" hidden="1" customHeight="1" x14ac:dyDescent="0.3">
      <c r="A293" s="131">
        <v>292</v>
      </c>
      <c r="B293" s="132" t="s">
        <v>250</v>
      </c>
      <c r="C293" s="133" t="s">
        <v>19</v>
      </c>
      <c r="D293" s="177" t="s">
        <v>154</v>
      </c>
      <c r="E293" s="134" t="s">
        <v>14</v>
      </c>
      <c r="F293" s="135"/>
      <c r="G293" s="136" t="s">
        <v>1211</v>
      </c>
      <c r="H293" s="137" t="s">
        <v>1212</v>
      </c>
      <c r="I293" s="138"/>
      <c r="J293" s="139"/>
      <c r="K293" s="135"/>
      <c r="L293" s="135"/>
      <c r="M293" s="148" t="s">
        <v>257</v>
      </c>
      <c r="N293" s="141"/>
      <c r="O293" s="142"/>
      <c r="P293" s="143" t="s">
        <v>54</v>
      </c>
      <c r="Q293" s="144" t="s">
        <v>298</v>
      </c>
      <c r="R293" s="144" t="s">
        <v>1213</v>
      </c>
      <c r="S293" s="131"/>
    </row>
    <row r="294" spans="1:19" ht="18" hidden="1" customHeight="1" x14ac:dyDescent="0.3">
      <c r="A294" s="131">
        <v>293</v>
      </c>
      <c r="B294" s="132" t="s">
        <v>250</v>
      </c>
      <c r="C294" s="133" t="s">
        <v>19</v>
      </c>
      <c r="D294" s="177" t="s">
        <v>154</v>
      </c>
      <c r="E294" s="134" t="s">
        <v>14</v>
      </c>
      <c r="F294" s="135"/>
      <c r="G294" s="136" t="s">
        <v>1214</v>
      </c>
      <c r="H294" s="137" t="s">
        <v>1215</v>
      </c>
      <c r="I294" s="138"/>
      <c r="J294" s="139" t="s">
        <v>186</v>
      </c>
      <c r="K294" s="135"/>
      <c r="L294" s="135"/>
      <c r="M294" s="148" t="s">
        <v>257</v>
      </c>
      <c r="N294" s="141"/>
      <c r="O294" s="142"/>
      <c r="P294" s="143" t="s">
        <v>1216</v>
      </c>
      <c r="Q294" s="144" t="s">
        <v>298</v>
      </c>
      <c r="R294" s="144" t="s">
        <v>1217</v>
      </c>
      <c r="S294" s="131"/>
    </row>
    <row r="295" spans="1:19" ht="18" hidden="1" customHeight="1" x14ac:dyDescent="0.3">
      <c r="A295" s="131">
        <v>294</v>
      </c>
      <c r="B295" s="132" t="s">
        <v>250</v>
      </c>
      <c r="C295" s="133" t="s">
        <v>19</v>
      </c>
      <c r="D295" s="177" t="s">
        <v>154</v>
      </c>
      <c r="E295" s="134" t="s">
        <v>14</v>
      </c>
      <c r="F295" s="135"/>
      <c r="G295" s="136" t="s">
        <v>1218</v>
      </c>
      <c r="H295" s="137" t="s">
        <v>1219</v>
      </c>
      <c r="I295" s="138"/>
      <c r="J295" s="139" t="s">
        <v>186</v>
      </c>
      <c r="K295" s="135"/>
      <c r="L295" s="135"/>
      <c r="M295" s="148" t="s">
        <v>257</v>
      </c>
      <c r="N295" s="141"/>
      <c r="O295" s="142"/>
      <c r="P295" s="143" t="s">
        <v>54</v>
      </c>
      <c r="Q295" s="144" t="s">
        <v>298</v>
      </c>
      <c r="R295" s="144"/>
      <c r="S295" s="131"/>
    </row>
    <row r="296" spans="1:19" ht="18" hidden="1" customHeight="1" x14ac:dyDescent="0.3">
      <c r="A296" s="131">
        <v>295</v>
      </c>
      <c r="B296" s="132" t="s">
        <v>250</v>
      </c>
      <c r="C296" s="133" t="s">
        <v>19</v>
      </c>
      <c r="D296" s="177" t="s">
        <v>154</v>
      </c>
      <c r="E296" s="134" t="s">
        <v>14</v>
      </c>
      <c r="F296" s="135"/>
      <c r="G296" s="136" t="s">
        <v>1220</v>
      </c>
      <c r="H296" s="137" t="s">
        <v>1221</v>
      </c>
      <c r="I296" s="138"/>
      <c r="J296" s="139"/>
      <c r="K296" s="135"/>
      <c r="L296" s="135"/>
      <c r="M296" s="148" t="s">
        <v>257</v>
      </c>
      <c r="N296" s="141"/>
      <c r="O296" s="142"/>
      <c r="P296" s="143" t="s">
        <v>1131</v>
      </c>
      <c r="Q296" s="144" t="s">
        <v>298</v>
      </c>
      <c r="R296" s="144" t="s">
        <v>1222</v>
      </c>
      <c r="S296" s="131"/>
    </row>
    <row r="297" spans="1:19" ht="18" hidden="1" customHeight="1" x14ac:dyDescent="0.3">
      <c r="A297" s="131">
        <v>296</v>
      </c>
      <c r="B297" s="132" t="s">
        <v>250</v>
      </c>
      <c r="C297" s="133" t="s">
        <v>19</v>
      </c>
      <c r="D297" s="177" t="s">
        <v>154</v>
      </c>
      <c r="E297" s="134" t="s">
        <v>14</v>
      </c>
      <c r="F297" s="135"/>
      <c r="G297" s="136" t="s">
        <v>1223</v>
      </c>
      <c r="H297" s="137" t="s">
        <v>1224</v>
      </c>
      <c r="I297" s="138"/>
      <c r="J297" s="139"/>
      <c r="K297" s="135"/>
      <c r="L297" s="135"/>
      <c r="M297" s="148" t="s">
        <v>257</v>
      </c>
      <c r="N297" s="141"/>
      <c r="O297" s="142"/>
      <c r="P297" s="143" t="s">
        <v>333</v>
      </c>
      <c r="Q297" s="144" t="s">
        <v>298</v>
      </c>
      <c r="R297" s="144" t="s">
        <v>1225</v>
      </c>
      <c r="S297" s="131"/>
    </row>
    <row r="298" spans="1:19" ht="18" hidden="1" customHeight="1" x14ac:dyDescent="0.3">
      <c r="A298" s="131">
        <v>297</v>
      </c>
      <c r="B298" s="132" t="s">
        <v>250</v>
      </c>
      <c r="C298" s="133" t="s">
        <v>19</v>
      </c>
      <c r="D298" s="177" t="s">
        <v>154</v>
      </c>
      <c r="E298" s="134" t="s">
        <v>14</v>
      </c>
      <c r="F298" s="135"/>
      <c r="G298" s="136" t="s">
        <v>1226</v>
      </c>
      <c r="H298" s="137" t="s">
        <v>1227</v>
      </c>
      <c r="I298" s="138"/>
      <c r="J298" s="139"/>
      <c r="K298" s="135"/>
      <c r="L298" s="135"/>
      <c r="M298" s="148" t="s">
        <v>257</v>
      </c>
      <c r="N298" s="141"/>
      <c r="O298" s="142"/>
      <c r="P298" s="143" t="s">
        <v>54</v>
      </c>
      <c r="Q298" s="144" t="s">
        <v>298</v>
      </c>
      <c r="R298" s="144" t="s">
        <v>1228</v>
      </c>
      <c r="S298" s="131"/>
    </row>
    <row r="299" spans="1:19" ht="18" hidden="1" customHeight="1" x14ac:dyDescent="0.3">
      <c r="A299" s="131">
        <v>298</v>
      </c>
      <c r="B299" s="132" t="s">
        <v>250</v>
      </c>
      <c r="C299" s="133" t="s">
        <v>19</v>
      </c>
      <c r="D299" s="177" t="s">
        <v>154</v>
      </c>
      <c r="E299" s="134" t="s">
        <v>14</v>
      </c>
      <c r="F299" s="135"/>
      <c r="G299" s="136" t="s">
        <v>1229</v>
      </c>
      <c r="H299" s="137" t="s">
        <v>1230</v>
      </c>
      <c r="I299" s="138"/>
      <c r="J299" s="139" t="s">
        <v>186</v>
      </c>
      <c r="K299" s="135"/>
      <c r="L299" s="135"/>
      <c r="M299" s="148" t="s">
        <v>257</v>
      </c>
      <c r="N299" s="141"/>
      <c r="O299" s="142"/>
      <c r="P299" s="143" t="s">
        <v>495</v>
      </c>
      <c r="Q299" s="144" t="s">
        <v>298</v>
      </c>
      <c r="R299" s="144" t="s">
        <v>1231</v>
      </c>
      <c r="S299" s="131"/>
    </row>
    <row r="300" spans="1:19" ht="18" hidden="1" customHeight="1" x14ac:dyDescent="0.3">
      <c r="A300" s="131">
        <v>299</v>
      </c>
      <c r="B300" s="132" t="s">
        <v>250</v>
      </c>
      <c r="C300" s="133" t="s">
        <v>19</v>
      </c>
      <c r="D300" s="177" t="s">
        <v>154</v>
      </c>
      <c r="E300" s="134" t="s">
        <v>14</v>
      </c>
      <c r="F300" s="135"/>
      <c r="G300" s="136" t="s">
        <v>1232</v>
      </c>
      <c r="H300" s="137" t="s">
        <v>1233</v>
      </c>
      <c r="I300" s="138"/>
      <c r="J300" s="139"/>
      <c r="K300" s="135"/>
      <c r="L300" s="135"/>
      <c r="M300" s="148" t="s">
        <v>257</v>
      </c>
      <c r="N300" s="141"/>
      <c r="O300" s="142"/>
      <c r="P300" s="143" t="s">
        <v>525</v>
      </c>
      <c r="Q300" s="144" t="s">
        <v>298</v>
      </c>
      <c r="R300" s="144" t="s">
        <v>1234</v>
      </c>
      <c r="S300" s="131"/>
    </row>
    <row r="301" spans="1:19" ht="18" hidden="1" customHeight="1" x14ac:dyDescent="0.3">
      <c r="A301" s="131">
        <v>300</v>
      </c>
      <c r="B301" s="132" t="s">
        <v>250</v>
      </c>
      <c r="C301" s="133" t="s">
        <v>19</v>
      </c>
      <c r="D301" s="177" t="s">
        <v>154</v>
      </c>
      <c r="E301" s="134" t="s">
        <v>14</v>
      </c>
      <c r="F301" s="135"/>
      <c r="G301" s="136" t="s">
        <v>1235</v>
      </c>
      <c r="H301" s="137" t="s">
        <v>1236</v>
      </c>
      <c r="I301" s="138"/>
      <c r="J301" s="139"/>
      <c r="K301" s="135"/>
      <c r="L301" s="135"/>
      <c r="M301" s="148" t="s">
        <v>257</v>
      </c>
      <c r="N301" s="141"/>
      <c r="O301" s="142"/>
      <c r="P301" s="143" t="s">
        <v>1237</v>
      </c>
      <c r="Q301" s="144" t="s">
        <v>298</v>
      </c>
      <c r="R301" s="144" t="s">
        <v>1238</v>
      </c>
      <c r="S301" s="131"/>
    </row>
    <row r="302" spans="1:19" ht="18" hidden="1" customHeight="1" x14ac:dyDescent="0.3">
      <c r="A302" s="131">
        <v>301</v>
      </c>
      <c r="B302" s="132" t="s">
        <v>250</v>
      </c>
      <c r="C302" s="133" t="s">
        <v>19</v>
      </c>
      <c r="D302" s="177" t="s">
        <v>154</v>
      </c>
      <c r="E302" s="134" t="s">
        <v>14</v>
      </c>
      <c r="F302" s="135"/>
      <c r="G302" s="136" t="s">
        <v>1239</v>
      </c>
      <c r="H302" s="137" t="s">
        <v>1240</v>
      </c>
      <c r="I302" s="138"/>
      <c r="J302" s="139"/>
      <c r="K302" s="135"/>
      <c r="L302" s="135"/>
      <c r="M302" s="148" t="s">
        <v>257</v>
      </c>
      <c r="N302" s="141"/>
      <c r="O302" s="142"/>
      <c r="P302" s="143" t="s">
        <v>461</v>
      </c>
      <c r="Q302" s="144" t="s">
        <v>298</v>
      </c>
      <c r="R302" s="144" t="s">
        <v>1241</v>
      </c>
      <c r="S302" s="131"/>
    </row>
    <row r="303" spans="1:19" ht="18" hidden="1" customHeight="1" x14ac:dyDescent="0.3">
      <c r="A303" s="131">
        <v>302</v>
      </c>
      <c r="B303" s="132" t="s">
        <v>250</v>
      </c>
      <c r="C303" s="133" t="s">
        <v>19</v>
      </c>
      <c r="D303" s="177" t="s">
        <v>154</v>
      </c>
      <c r="E303" s="134" t="s">
        <v>14</v>
      </c>
      <c r="F303" s="135"/>
      <c r="G303" s="136" t="s">
        <v>1242</v>
      </c>
      <c r="H303" s="137" t="s">
        <v>1243</v>
      </c>
      <c r="I303" s="138"/>
      <c r="J303" s="139" t="s">
        <v>186</v>
      </c>
      <c r="K303" s="135"/>
      <c r="L303" s="135"/>
      <c r="M303" s="148" t="s">
        <v>257</v>
      </c>
      <c r="N303" s="141"/>
      <c r="O303" s="142"/>
      <c r="P303" s="143" t="s">
        <v>1244</v>
      </c>
      <c r="Q303" s="144" t="s">
        <v>298</v>
      </c>
      <c r="R303" s="144" t="s">
        <v>1245</v>
      </c>
      <c r="S303" s="131"/>
    </row>
    <row r="304" spans="1:19" ht="18" hidden="1" customHeight="1" x14ac:dyDescent="0.3">
      <c r="A304" s="131">
        <v>303</v>
      </c>
      <c r="B304" s="132" t="s">
        <v>250</v>
      </c>
      <c r="C304" s="133" t="s">
        <v>19</v>
      </c>
      <c r="D304" s="177" t="s">
        <v>154</v>
      </c>
      <c r="E304" s="134" t="s">
        <v>14</v>
      </c>
      <c r="F304" s="135"/>
      <c r="G304" s="136" t="s">
        <v>1246</v>
      </c>
      <c r="H304" s="137" t="s">
        <v>1247</v>
      </c>
      <c r="I304" s="138"/>
      <c r="J304" s="139"/>
      <c r="K304" s="135"/>
      <c r="L304" s="135"/>
      <c r="M304" s="148" t="s">
        <v>257</v>
      </c>
      <c r="N304" s="141"/>
      <c r="O304" s="142"/>
      <c r="P304" s="143" t="s">
        <v>1248</v>
      </c>
      <c r="Q304" s="144" t="s">
        <v>298</v>
      </c>
      <c r="R304" s="144" t="s">
        <v>1249</v>
      </c>
      <c r="S304" s="131"/>
    </row>
    <row r="305" spans="1:19" ht="18" hidden="1" customHeight="1" x14ac:dyDescent="0.3">
      <c r="A305" s="131">
        <v>304</v>
      </c>
      <c r="B305" s="132" t="s">
        <v>250</v>
      </c>
      <c r="C305" s="133" t="s">
        <v>19</v>
      </c>
      <c r="D305" s="177" t="s">
        <v>154</v>
      </c>
      <c r="E305" s="134" t="s">
        <v>14</v>
      </c>
      <c r="F305" s="135"/>
      <c r="G305" s="136" t="s">
        <v>1250</v>
      </c>
      <c r="H305" s="137" t="s">
        <v>1251</v>
      </c>
      <c r="I305" s="138"/>
      <c r="J305" s="139"/>
      <c r="K305" s="135"/>
      <c r="L305" s="135"/>
      <c r="M305" s="148" t="s">
        <v>257</v>
      </c>
      <c r="N305" s="141"/>
      <c r="O305" s="142"/>
      <c r="P305" s="143" t="s">
        <v>340</v>
      </c>
      <c r="Q305" s="144" t="s">
        <v>298</v>
      </c>
      <c r="R305" s="144" t="s">
        <v>1252</v>
      </c>
      <c r="S305" s="131"/>
    </row>
    <row r="306" spans="1:19" ht="18" hidden="1" customHeight="1" x14ac:dyDescent="0.3">
      <c r="A306" s="131">
        <v>305</v>
      </c>
      <c r="B306" s="132" t="s">
        <v>250</v>
      </c>
      <c r="C306" s="133" t="s">
        <v>19</v>
      </c>
      <c r="D306" s="177" t="s">
        <v>154</v>
      </c>
      <c r="E306" s="134" t="s">
        <v>14</v>
      </c>
      <c r="F306" s="135"/>
      <c r="G306" s="136" t="s">
        <v>1253</v>
      </c>
      <c r="H306" s="137" t="s">
        <v>1254</v>
      </c>
      <c r="I306" s="138"/>
      <c r="J306" s="139"/>
      <c r="K306" s="135"/>
      <c r="L306" s="135"/>
      <c r="M306" s="148" t="s">
        <v>257</v>
      </c>
      <c r="N306" s="141"/>
      <c r="O306" s="142"/>
      <c r="P306" s="143" t="s">
        <v>1255</v>
      </c>
      <c r="Q306" s="144" t="s">
        <v>298</v>
      </c>
      <c r="R306" s="144" t="s">
        <v>1256</v>
      </c>
      <c r="S306" s="131"/>
    </row>
    <row r="307" spans="1:19" ht="18" hidden="1" customHeight="1" x14ac:dyDescent="0.3">
      <c r="A307" s="131">
        <v>306</v>
      </c>
      <c r="B307" s="132" t="s">
        <v>250</v>
      </c>
      <c r="C307" s="133" t="s">
        <v>19</v>
      </c>
      <c r="D307" s="177" t="s">
        <v>154</v>
      </c>
      <c r="E307" s="134" t="s">
        <v>14</v>
      </c>
      <c r="F307" s="135"/>
      <c r="G307" s="136" t="s">
        <v>1257</v>
      </c>
      <c r="H307" s="137" t="s">
        <v>1258</v>
      </c>
      <c r="I307" s="138"/>
      <c r="J307" s="139" t="s">
        <v>186</v>
      </c>
      <c r="K307" s="135"/>
      <c r="L307" s="135"/>
      <c r="M307" s="148" t="s">
        <v>257</v>
      </c>
      <c r="N307" s="141"/>
      <c r="O307" s="142"/>
      <c r="P307" s="143" t="s">
        <v>54</v>
      </c>
      <c r="Q307" s="144" t="s">
        <v>298</v>
      </c>
      <c r="R307" s="144" t="s">
        <v>1259</v>
      </c>
      <c r="S307" s="131"/>
    </row>
    <row r="308" spans="1:19" ht="18" hidden="1" customHeight="1" x14ac:dyDescent="0.3">
      <c r="A308" s="151">
        <v>307</v>
      </c>
      <c r="B308" s="152" t="s">
        <v>250</v>
      </c>
      <c r="C308" s="153" t="s">
        <v>3</v>
      </c>
      <c r="D308" s="178" t="s">
        <v>154</v>
      </c>
      <c r="E308" s="155" t="s">
        <v>13</v>
      </c>
      <c r="F308" s="156"/>
      <c r="G308" s="157" t="s">
        <v>1260</v>
      </c>
      <c r="H308" s="158" t="s">
        <v>1261</v>
      </c>
      <c r="I308" s="159"/>
      <c r="J308" s="160" t="s">
        <v>186</v>
      </c>
      <c r="K308" s="156"/>
      <c r="L308" s="156"/>
      <c r="M308" s="148" t="s">
        <v>257</v>
      </c>
      <c r="N308" s="162"/>
      <c r="O308" s="163" t="s">
        <v>290</v>
      </c>
      <c r="P308" s="164" t="s">
        <v>73</v>
      </c>
      <c r="Q308" s="165" t="s">
        <v>597</v>
      </c>
      <c r="R308" s="165" t="s">
        <v>1262</v>
      </c>
      <c r="S308" s="151"/>
    </row>
    <row r="309" spans="1:19" ht="18" hidden="1" customHeight="1" x14ac:dyDescent="0.3">
      <c r="A309" s="76">
        <v>308</v>
      </c>
      <c r="B309" s="166" t="s">
        <v>250</v>
      </c>
      <c r="C309" s="167" t="s">
        <v>3</v>
      </c>
      <c r="D309" s="179" t="s">
        <v>154</v>
      </c>
      <c r="E309" s="80" t="s">
        <v>13</v>
      </c>
      <c r="F309" s="81"/>
      <c r="G309" s="82" t="s">
        <v>1263</v>
      </c>
      <c r="H309" s="83" t="s">
        <v>1264</v>
      </c>
      <c r="I309" s="84"/>
      <c r="J309" s="85" t="s">
        <v>186</v>
      </c>
      <c r="K309" s="81"/>
      <c r="L309" s="81"/>
      <c r="M309" s="148" t="s">
        <v>257</v>
      </c>
      <c r="N309" s="87"/>
      <c r="O309" s="78" t="s">
        <v>290</v>
      </c>
      <c r="P309" s="88" t="s">
        <v>54</v>
      </c>
      <c r="Q309" s="89" t="s">
        <v>381</v>
      </c>
      <c r="R309" s="89" t="s">
        <v>1265</v>
      </c>
      <c r="S309" s="76"/>
    </row>
    <row r="310" spans="1:19" ht="18" hidden="1" customHeight="1" x14ac:dyDescent="0.3">
      <c r="A310" s="151">
        <v>309</v>
      </c>
      <c r="B310" s="152" t="s">
        <v>250</v>
      </c>
      <c r="C310" s="153" t="s">
        <v>3</v>
      </c>
      <c r="D310" s="178" t="s">
        <v>154</v>
      </c>
      <c r="E310" s="155" t="s">
        <v>13</v>
      </c>
      <c r="F310" s="156"/>
      <c r="G310" s="157" t="s">
        <v>1266</v>
      </c>
      <c r="H310" s="158" t="s">
        <v>1267</v>
      </c>
      <c r="I310" s="159"/>
      <c r="J310" s="160"/>
      <c r="K310" s="156"/>
      <c r="L310" s="156"/>
      <c r="M310" s="148" t="s">
        <v>257</v>
      </c>
      <c r="N310" s="162"/>
      <c r="O310" s="163" t="s">
        <v>53</v>
      </c>
      <c r="P310" s="164" t="s">
        <v>54</v>
      </c>
      <c r="Q310" s="165" t="s">
        <v>152</v>
      </c>
      <c r="R310" s="165" t="s">
        <v>1268</v>
      </c>
      <c r="S310" s="151"/>
    </row>
    <row r="311" spans="1:19" ht="18" hidden="1" customHeight="1" x14ac:dyDescent="0.3">
      <c r="A311" s="76">
        <v>310</v>
      </c>
      <c r="B311" s="166" t="s">
        <v>250</v>
      </c>
      <c r="C311" s="167" t="s">
        <v>3</v>
      </c>
      <c r="D311" s="179" t="s">
        <v>154</v>
      </c>
      <c r="E311" s="80" t="s">
        <v>13</v>
      </c>
      <c r="F311" s="81"/>
      <c r="G311" s="82" t="s">
        <v>1269</v>
      </c>
      <c r="H311" s="83" t="s">
        <v>1270</v>
      </c>
      <c r="I311" s="84"/>
      <c r="J311" s="85" t="s">
        <v>186</v>
      </c>
      <c r="K311" s="81"/>
      <c r="L311" s="81"/>
      <c r="M311" s="148" t="s">
        <v>257</v>
      </c>
      <c r="N311" s="87"/>
      <c r="O311" s="78" t="s">
        <v>53</v>
      </c>
      <c r="P311" s="88" t="s">
        <v>54</v>
      </c>
      <c r="Q311" s="89" t="s">
        <v>264</v>
      </c>
      <c r="R311" s="89" t="s">
        <v>1271</v>
      </c>
      <c r="S311" s="76"/>
    </row>
    <row r="312" spans="1:19" ht="18" hidden="1" customHeight="1" x14ac:dyDescent="0.3">
      <c r="A312" s="151">
        <v>311</v>
      </c>
      <c r="B312" s="152" t="s">
        <v>250</v>
      </c>
      <c r="C312" s="153" t="s">
        <v>3</v>
      </c>
      <c r="D312" s="178" t="s">
        <v>154</v>
      </c>
      <c r="E312" s="155" t="s">
        <v>13</v>
      </c>
      <c r="F312" s="156"/>
      <c r="G312" s="157" t="s">
        <v>1272</v>
      </c>
      <c r="H312" s="158" t="s">
        <v>1273</v>
      </c>
      <c r="I312" s="159"/>
      <c r="J312" s="160"/>
      <c r="K312" s="156"/>
      <c r="L312" s="156"/>
      <c r="M312" s="148" t="s">
        <v>257</v>
      </c>
      <c r="N312" s="162"/>
      <c r="O312" s="163" t="s">
        <v>53</v>
      </c>
      <c r="P312" s="164" t="s">
        <v>1274</v>
      </c>
      <c r="Q312" s="165" t="s">
        <v>388</v>
      </c>
      <c r="R312" s="165" t="s">
        <v>1275</v>
      </c>
      <c r="S312" s="151"/>
    </row>
    <row r="313" spans="1:19" ht="18" hidden="1" customHeight="1" x14ac:dyDescent="0.3">
      <c r="A313" s="76">
        <v>312</v>
      </c>
      <c r="B313" s="166" t="s">
        <v>250</v>
      </c>
      <c r="C313" s="167" t="s">
        <v>3</v>
      </c>
      <c r="D313" s="179" t="s">
        <v>154</v>
      </c>
      <c r="E313" s="80" t="s">
        <v>13</v>
      </c>
      <c r="F313" s="81"/>
      <c r="G313" s="82" t="s">
        <v>1276</v>
      </c>
      <c r="H313" s="83" t="s">
        <v>1277</v>
      </c>
      <c r="I313" s="84"/>
      <c r="J313" s="85" t="s">
        <v>186</v>
      </c>
      <c r="K313" s="81"/>
      <c r="L313" s="81"/>
      <c r="M313" s="148" t="s">
        <v>257</v>
      </c>
      <c r="N313" s="87"/>
      <c r="O313" s="78" t="s">
        <v>290</v>
      </c>
      <c r="P313" s="88" t="s">
        <v>54</v>
      </c>
      <c r="Q313" s="89" t="s">
        <v>258</v>
      </c>
      <c r="R313" s="89" t="s">
        <v>1278</v>
      </c>
      <c r="S313" s="76"/>
    </row>
    <row r="314" spans="1:19" ht="18" hidden="1" customHeight="1" x14ac:dyDescent="0.3">
      <c r="A314" s="151">
        <v>313</v>
      </c>
      <c r="B314" s="152" t="s">
        <v>250</v>
      </c>
      <c r="C314" s="153" t="s">
        <v>3</v>
      </c>
      <c r="D314" s="178" t="s">
        <v>154</v>
      </c>
      <c r="E314" s="155" t="s">
        <v>13</v>
      </c>
      <c r="F314" s="156"/>
      <c r="G314" s="157" t="s">
        <v>1279</v>
      </c>
      <c r="H314" s="158" t="s">
        <v>1280</v>
      </c>
      <c r="I314" s="159"/>
      <c r="J314" s="160"/>
      <c r="K314" s="156"/>
      <c r="L314" s="156"/>
      <c r="M314" s="148" t="s">
        <v>257</v>
      </c>
      <c r="N314" s="162"/>
      <c r="O314" s="163" t="s">
        <v>53</v>
      </c>
      <c r="P314" s="164" t="s">
        <v>54</v>
      </c>
      <c r="Q314" s="165" t="s">
        <v>254</v>
      </c>
      <c r="R314" s="165" t="s">
        <v>1281</v>
      </c>
      <c r="S314" s="151"/>
    </row>
    <row r="315" spans="1:19" ht="18" hidden="1" customHeight="1" x14ac:dyDescent="0.3">
      <c r="A315" s="76">
        <v>314</v>
      </c>
      <c r="B315" s="166" t="s">
        <v>250</v>
      </c>
      <c r="C315" s="167" t="s">
        <v>3</v>
      </c>
      <c r="D315" s="179" t="s">
        <v>154</v>
      </c>
      <c r="E315" s="80" t="s">
        <v>13</v>
      </c>
      <c r="F315" s="81"/>
      <c r="G315" s="82" t="s">
        <v>1282</v>
      </c>
      <c r="H315" s="83" t="s">
        <v>1283</v>
      </c>
      <c r="I315" s="84"/>
      <c r="J315" s="85"/>
      <c r="K315" s="81"/>
      <c r="L315" s="81"/>
      <c r="M315" s="148" t="s">
        <v>257</v>
      </c>
      <c r="N315" s="87"/>
      <c r="O315" s="78" t="s">
        <v>290</v>
      </c>
      <c r="P315" s="88" t="s">
        <v>1284</v>
      </c>
      <c r="Q315" s="89" t="s">
        <v>264</v>
      </c>
      <c r="R315" s="89" t="s">
        <v>1285</v>
      </c>
      <c r="S315" s="76"/>
    </row>
    <row r="316" spans="1:19" ht="18" hidden="1" customHeight="1" x14ac:dyDescent="0.3">
      <c r="A316" s="151">
        <v>315</v>
      </c>
      <c r="B316" s="152" t="s">
        <v>250</v>
      </c>
      <c r="C316" s="153" t="s">
        <v>3</v>
      </c>
      <c r="D316" s="178" t="s">
        <v>154</v>
      </c>
      <c r="E316" s="155" t="s">
        <v>13</v>
      </c>
      <c r="F316" s="156"/>
      <c r="G316" s="157" t="s">
        <v>1286</v>
      </c>
      <c r="H316" s="158" t="s">
        <v>1287</v>
      </c>
      <c r="I316" s="159"/>
      <c r="J316" s="160"/>
      <c r="K316" s="156"/>
      <c r="L316" s="156"/>
      <c r="M316" s="148" t="s">
        <v>257</v>
      </c>
      <c r="N316" s="162"/>
      <c r="O316" s="163" t="s">
        <v>290</v>
      </c>
      <c r="P316" s="164" t="s">
        <v>54</v>
      </c>
      <c r="Q316" s="165" t="s">
        <v>264</v>
      </c>
      <c r="R316" s="165" t="s">
        <v>1288</v>
      </c>
      <c r="S316" s="151"/>
    </row>
    <row r="317" spans="1:19" ht="18" hidden="1" customHeight="1" x14ac:dyDescent="0.3">
      <c r="A317" s="76">
        <v>316</v>
      </c>
      <c r="B317" s="166" t="s">
        <v>250</v>
      </c>
      <c r="C317" s="167" t="s">
        <v>3</v>
      </c>
      <c r="D317" s="179" t="s">
        <v>154</v>
      </c>
      <c r="E317" s="80" t="s">
        <v>13</v>
      </c>
      <c r="F317" s="81"/>
      <c r="G317" s="82" t="s">
        <v>1289</v>
      </c>
      <c r="H317" s="83" t="s">
        <v>1290</v>
      </c>
      <c r="I317" s="84"/>
      <c r="J317" s="85" t="s">
        <v>186</v>
      </c>
      <c r="K317" s="81"/>
      <c r="L317" s="81"/>
      <c r="M317" s="148" t="s">
        <v>257</v>
      </c>
      <c r="N317" s="87"/>
      <c r="O317" s="78" t="s">
        <v>53</v>
      </c>
      <c r="P317" s="88" t="s">
        <v>1291</v>
      </c>
      <c r="Q317" s="89" t="s">
        <v>264</v>
      </c>
      <c r="R317" s="89" t="s">
        <v>1292</v>
      </c>
      <c r="S317" s="76"/>
    </row>
    <row r="318" spans="1:19" ht="18" hidden="1" customHeight="1" x14ac:dyDescent="0.3">
      <c r="A318" s="151">
        <v>317</v>
      </c>
      <c r="B318" s="152" t="s">
        <v>250</v>
      </c>
      <c r="C318" s="153" t="s">
        <v>3</v>
      </c>
      <c r="D318" s="178" t="s">
        <v>154</v>
      </c>
      <c r="E318" s="155" t="s">
        <v>13</v>
      </c>
      <c r="F318" s="156"/>
      <c r="G318" s="157" t="s">
        <v>1293</v>
      </c>
      <c r="H318" s="158" t="s">
        <v>1294</v>
      </c>
      <c r="I318" s="159"/>
      <c r="J318" s="160" t="s">
        <v>186</v>
      </c>
      <c r="K318" s="156"/>
      <c r="L318" s="156"/>
      <c r="M318" s="148" t="s">
        <v>257</v>
      </c>
      <c r="N318" s="162"/>
      <c r="O318" s="163" t="s">
        <v>53</v>
      </c>
      <c r="P318" s="164" t="s">
        <v>495</v>
      </c>
      <c r="Q318" s="165" t="s">
        <v>264</v>
      </c>
      <c r="R318" s="165" t="s">
        <v>1295</v>
      </c>
      <c r="S318" s="151"/>
    </row>
    <row r="319" spans="1:19" ht="18" hidden="1" customHeight="1" x14ac:dyDescent="0.3">
      <c r="A319" s="76">
        <v>318</v>
      </c>
      <c r="B319" s="166" t="s">
        <v>250</v>
      </c>
      <c r="C319" s="167" t="s">
        <v>3</v>
      </c>
      <c r="D319" s="179" t="s">
        <v>154</v>
      </c>
      <c r="E319" s="80" t="s">
        <v>13</v>
      </c>
      <c r="F319" s="81"/>
      <c r="G319" s="82" t="s">
        <v>1296</v>
      </c>
      <c r="H319" s="83" t="s">
        <v>1297</v>
      </c>
      <c r="I319" s="84"/>
      <c r="J319" s="85" t="s">
        <v>186</v>
      </c>
      <c r="K319" s="81"/>
      <c r="L319" s="81"/>
      <c r="M319" s="148" t="s">
        <v>257</v>
      </c>
      <c r="N319" s="87"/>
      <c r="O319" s="78" t="s">
        <v>53</v>
      </c>
      <c r="P319" s="88" t="s">
        <v>54</v>
      </c>
      <c r="Q319" s="89" t="s">
        <v>264</v>
      </c>
      <c r="R319" s="89" t="s">
        <v>1298</v>
      </c>
      <c r="S319" s="76"/>
    </row>
    <row r="320" spans="1:19" ht="18" hidden="1" customHeight="1" x14ac:dyDescent="0.3">
      <c r="A320" s="151">
        <v>319</v>
      </c>
      <c r="B320" s="152" t="s">
        <v>250</v>
      </c>
      <c r="C320" s="153" t="s">
        <v>3</v>
      </c>
      <c r="D320" s="178" t="s">
        <v>154</v>
      </c>
      <c r="E320" s="155" t="s">
        <v>13</v>
      </c>
      <c r="F320" s="156"/>
      <c r="G320" s="157" t="s">
        <v>1299</v>
      </c>
      <c r="H320" s="158" t="s">
        <v>1300</v>
      </c>
      <c r="I320" s="159"/>
      <c r="J320" s="160" t="s">
        <v>51</v>
      </c>
      <c r="K320" s="156"/>
      <c r="L320" s="156"/>
      <c r="M320" s="171" t="s">
        <v>40</v>
      </c>
      <c r="N320" s="162" t="s">
        <v>1301</v>
      </c>
      <c r="O320" s="163" t="s">
        <v>290</v>
      </c>
      <c r="P320" s="164" t="s">
        <v>54</v>
      </c>
      <c r="Q320" s="165" t="s">
        <v>254</v>
      </c>
      <c r="R320" s="165" t="s">
        <v>1302</v>
      </c>
      <c r="S320" s="151"/>
    </row>
    <row r="321" spans="1:19" ht="18" hidden="1" customHeight="1" x14ac:dyDescent="0.3">
      <c r="A321" s="76">
        <v>320</v>
      </c>
      <c r="B321" s="166" t="s">
        <v>250</v>
      </c>
      <c r="C321" s="167" t="s">
        <v>3</v>
      </c>
      <c r="D321" s="179" t="s">
        <v>154</v>
      </c>
      <c r="E321" s="80" t="s">
        <v>13</v>
      </c>
      <c r="F321" s="81"/>
      <c r="G321" s="82" t="s">
        <v>1303</v>
      </c>
      <c r="H321" s="83" t="s">
        <v>1304</v>
      </c>
      <c r="I321" s="84"/>
      <c r="J321" s="85" t="s">
        <v>186</v>
      </c>
      <c r="K321" s="81"/>
      <c r="L321" s="81"/>
      <c r="M321" s="86" t="s">
        <v>257</v>
      </c>
      <c r="N321" s="87"/>
      <c r="O321" s="78" t="s">
        <v>290</v>
      </c>
      <c r="P321" s="88" t="s">
        <v>54</v>
      </c>
      <c r="Q321" s="89" t="s">
        <v>254</v>
      </c>
      <c r="R321" s="89" t="s">
        <v>1305</v>
      </c>
      <c r="S321" s="76"/>
    </row>
    <row r="322" spans="1:19" ht="18" hidden="1" customHeight="1" x14ac:dyDescent="0.3">
      <c r="A322" s="151">
        <v>321</v>
      </c>
      <c r="B322" s="152" t="s">
        <v>250</v>
      </c>
      <c r="C322" s="153" t="s">
        <v>3</v>
      </c>
      <c r="D322" s="178" t="s">
        <v>154</v>
      </c>
      <c r="E322" s="155" t="s">
        <v>14</v>
      </c>
      <c r="F322" s="156"/>
      <c r="G322" s="157" t="s">
        <v>1306</v>
      </c>
      <c r="H322" s="158" t="s">
        <v>1307</v>
      </c>
      <c r="I322" s="159"/>
      <c r="J322" s="160"/>
      <c r="K322" s="156"/>
      <c r="L322" s="156"/>
      <c r="M322" s="171" t="s">
        <v>40</v>
      </c>
      <c r="N322" s="162" t="s">
        <v>1308</v>
      </c>
      <c r="O322" s="163"/>
      <c r="P322" s="164" t="s">
        <v>291</v>
      </c>
      <c r="Q322" s="165" t="s">
        <v>1309</v>
      </c>
      <c r="R322" s="165" t="s">
        <v>1310</v>
      </c>
      <c r="S322" s="151"/>
    </row>
    <row r="323" spans="1:19" ht="18" hidden="1" customHeight="1" x14ac:dyDescent="0.3">
      <c r="A323" s="76">
        <v>322</v>
      </c>
      <c r="B323" s="166" t="s">
        <v>250</v>
      </c>
      <c r="C323" s="167" t="s">
        <v>3</v>
      </c>
      <c r="D323" s="179" t="s">
        <v>154</v>
      </c>
      <c r="E323" s="80" t="s">
        <v>14</v>
      </c>
      <c r="F323" s="173" t="s">
        <v>80</v>
      </c>
      <c r="G323" s="82" t="s">
        <v>1311</v>
      </c>
      <c r="H323" s="83" t="s">
        <v>1312</v>
      </c>
      <c r="I323" s="84"/>
      <c r="J323" s="85"/>
      <c r="K323" s="81"/>
      <c r="L323" s="81"/>
      <c r="M323" s="86" t="s">
        <v>40</v>
      </c>
      <c r="N323" s="87" t="s">
        <v>1313</v>
      </c>
      <c r="O323" s="78"/>
      <c r="P323" s="88" t="s">
        <v>54</v>
      </c>
      <c r="Q323" s="89" t="s">
        <v>292</v>
      </c>
      <c r="R323" s="89" t="s">
        <v>1314</v>
      </c>
      <c r="S323" s="76"/>
    </row>
    <row r="324" spans="1:19" ht="18" hidden="1" customHeight="1" x14ac:dyDescent="0.3">
      <c r="A324" s="151">
        <v>323</v>
      </c>
      <c r="B324" s="152" t="s">
        <v>250</v>
      </c>
      <c r="C324" s="153" t="s">
        <v>3</v>
      </c>
      <c r="D324" s="178" t="s">
        <v>154</v>
      </c>
      <c r="E324" s="155" t="s">
        <v>14</v>
      </c>
      <c r="F324" s="156"/>
      <c r="G324" s="157" t="s">
        <v>1315</v>
      </c>
      <c r="H324" s="158" t="s">
        <v>1316</v>
      </c>
      <c r="I324" s="159"/>
      <c r="J324" s="160"/>
      <c r="K324" s="156"/>
      <c r="L324" s="156"/>
      <c r="M324" s="171" t="s">
        <v>257</v>
      </c>
      <c r="N324" s="162"/>
      <c r="O324" s="163"/>
      <c r="P324" s="164" t="s">
        <v>1317</v>
      </c>
      <c r="Q324" s="165" t="s">
        <v>292</v>
      </c>
      <c r="R324" s="165" t="s">
        <v>1318</v>
      </c>
      <c r="S324" s="151"/>
    </row>
    <row r="325" spans="1:19" ht="18" hidden="1" customHeight="1" x14ac:dyDescent="0.3">
      <c r="A325" s="76">
        <v>324</v>
      </c>
      <c r="B325" s="166" t="s">
        <v>250</v>
      </c>
      <c r="C325" s="167" t="s">
        <v>3</v>
      </c>
      <c r="D325" s="179" t="s">
        <v>154</v>
      </c>
      <c r="E325" s="80" t="s">
        <v>14</v>
      </c>
      <c r="F325" s="81"/>
      <c r="G325" s="82" t="s">
        <v>1319</v>
      </c>
      <c r="H325" s="83" t="s">
        <v>1320</v>
      </c>
      <c r="I325" s="84"/>
      <c r="J325" s="85"/>
      <c r="K325" s="81"/>
      <c r="L325" s="81"/>
      <c r="M325" s="171" t="s">
        <v>257</v>
      </c>
      <c r="N325" s="87"/>
      <c r="O325" s="78"/>
      <c r="P325" s="88" t="s">
        <v>54</v>
      </c>
      <c r="Q325" s="89" t="s">
        <v>292</v>
      </c>
      <c r="R325" s="89" t="s">
        <v>1321</v>
      </c>
      <c r="S325" s="76"/>
    </row>
    <row r="326" spans="1:19" ht="18" hidden="1" customHeight="1" x14ac:dyDescent="0.3">
      <c r="A326" s="151">
        <v>325</v>
      </c>
      <c r="B326" s="152" t="s">
        <v>250</v>
      </c>
      <c r="C326" s="153" t="s">
        <v>3</v>
      </c>
      <c r="D326" s="178" t="s">
        <v>154</v>
      </c>
      <c r="E326" s="155" t="s">
        <v>14</v>
      </c>
      <c r="F326" s="156"/>
      <c r="G326" s="157" t="s">
        <v>1322</v>
      </c>
      <c r="H326" s="158" t="s">
        <v>1323</v>
      </c>
      <c r="I326" s="159"/>
      <c r="J326" s="160"/>
      <c r="K326" s="156"/>
      <c r="L326" s="156"/>
      <c r="M326" s="171" t="s">
        <v>257</v>
      </c>
      <c r="N326" s="162"/>
      <c r="O326" s="163"/>
      <c r="P326" s="164" t="s">
        <v>1324</v>
      </c>
      <c r="Q326" s="165" t="s">
        <v>298</v>
      </c>
      <c r="R326" s="165"/>
      <c r="S326" s="151"/>
    </row>
    <row r="327" spans="1:19" ht="18" hidden="1" customHeight="1" x14ac:dyDescent="0.3">
      <c r="A327" s="76">
        <v>326</v>
      </c>
      <c r="B327" s="166" t="s">
        <v>250</v>
      </c>
      <c r="C327" s="167" t="s">
        <v>3</v>
      </c>
      <c r="D327" s="179" t="s">
        <v>154</v>
      </c>
      <c r="E327" s="80" t="s">
        <v>14</v>
      </c>
      <c r="F327" s="81"/>
      <c r="G327" s="82" t="s">
        <v>1325</v>
      </c>
      <c r="H327" s="83" t="s">
        <v>1326</v>
      </c>
      <c r="I327" s="84"/>
      <c r="J327" s="85"/>
      <c r="K327" s="81"/>
      <c r="L327" s="81"/>
      <c r="M327" s="171" t="s">
        <v>257</v>
      </c>
      <c r="N327" s="87"/>
      <c r="O327" s="78"/>
      <c r="P327" s="88" t="s">
        <v>525</v>
      </c>
      <c r="Q327" s="89" t="s">
        <v>298</v>
      </c>
      <c r="R327" s="89" t="s">
        <v>1327</v>
      </c>
      <c r="S327" s="76"/>
    </row>
    <row r="328" spans="1:19" ht="18" hidden="1" customHeight="1" x14ac:dyDescent="0.3">
      <c r="A328" s="151">
        <v>327</v>
      </c>
      <c r="B328" s="152" t="s">
        <v>250</v>
      </c>
      <c r="C328" s="153" t="s">
        <v>3</v>
      </c>
      <c r="D328" s="178" t="s">
        <v>154</v>
      </c>
      <c r="E328" s="155" t="s">
        <v>14</v>
      </c>
      <c r="F328" s="156"/>
      <c r="G328" s="157" t="s">
        <v>1328</v>
      </c>
      <c r="H328" s="158" t="s">
        <v>1329</v>
      </c>
      <c r="I328" s="159"/>
      <c r="J328" s="160"/>
      <c r="K328" s="156"/>
      <c r="L328" s="156"/>
      <c r="M328" s="171" t="s">
        <v>257</v>
      </c>
      <c r="N328" s="162"/>
      <c r="O328" s="163"/>
      <c r="P328" s="164" t="s">
        <v>1330</v>
      </c>
      <c r="Q328" s="165" t="s">
        <v>298</v>
      </c>
      <c r="R328" s="165" t="s">
        <v>1331</v>
      </c>
      <c r="S328" s="151"/>
    </row>
    <row r="329" spans="1:19" ht="18" hidden="1" customHeight="1" x14ac:dyDescent="0.3">
      <c r="A329" s="76">
        <v>328</v>
      </c>
      <c r="B329" s="166" t="s">
        <v>250</v>
      </c>
      <c r="C329" s="167" t="s">
        <v>3</v>
      </c>
      <c r="D329" s="179" t="s">
        <v>154</v>
      </c>
      <c r="E329" s="80" t="s">
        <v>14</v>
      </c>
      <c r="F329" s="81"/>
      <c r="G329" s="82" t="s">
        <v>1332</v>
      </c>
      <c r="H329" s="83" t="s">
        <v>1333</v>
      </c>
      <c r="I329" s="84"/>
      <c r="J329" s="85"/>
      <c r="K329" s="81"/>
      <c r="L329" s="81"/>
      <c r="M329" s="171" t="s">
        <v>257</v>
      </c>
      <c r="N329" s="87"/>
      <c r="O329" s="78"/>
      <c r="P329" s="88" t="s">
        <v>340</v>
      </c>
      <c r="Q329" s="89" t="s">
        <v>298</v>
      </c>
      <c r="R329" s="89" t="s">
        <v>1334</v>
      </c>
      <c r="S329" s="76"/>
    </row>
    <row r="330" spans="1:19" ht="18" hidden="1" customHeight="1" x14ac:dyDescent="0.3">
      <c r="A330" s="151">
        <v>329</v>
      </c>
      <c r="B330" s="152" t="s">
        <v>250</v>
      </c>
      <c r="C330" s="153" t="s">
        <v>3</v>
      </c>
      <c r="D330" s="178" t="s">
        <v>154</v>
      </c>
      <c r="E330" s="155" t="s">
        <v>14</v>
      </c>
      <c r="F330" s="156"/>
      <c r="G330" s="157" t="s">
        <v>1335</v>
      </c>
      <c r="H330" s="158" t="s">
        <v>1336</v>
      </c>
      <c r="I330" s="159"/>
      <c r="J330" s="160"/>
      <c r="K330" s="156"/>
      <c r="L330" s="156"/>
      <c r="M330" s="171" t="s">
        <v>257</v>
      </c>
      <c r="N330" s="162"/>
      <c r="O330" s="163"/>
      <c r="P330" s="164" t="s">
        <v>1337</v>
      </c>
      <c r="Q330" s="165" t="s">
        <v>298</v>
      </c>
      <c r="R330" s="165"/>
      <c r="S330" s="151"/>
    </row>
    <row r="331" spans="1:19" ht="18" hidden="1" customHeight="1" x14ac:dyDescent="0.3">
      <c r="A331" s="76">
        <v>330</v>
      </c>
      <c r="B331" s="166" t="s">
        <v>250</v>
      </c>
      <c r="C331" s="167" t="s">
        <v>3</v>
      </c>
      <c r="D331" s="179" t="s">
        <v>154</v>
      </c>
      <c r="E331" s="80" t="s">
        <v>14</v>
      </c>
      <c r="F331" s="81"/>
      <c r="G331" s="82" t="s">
        <v>1338</v>
      </c>
      <c r="H331" s="83" t="s">
        <v>1339</v>
      </c>
      <c r="I331" s="84"/>
      <c r="J331" s="85"/>
      <c r="K331" s="81"/>
      <c r="L331" s="81"/>
      <c r="M331" s="171" t="s">
        <v>257</v>
      </c>
      <c r="N331" s="87"/>
      <c r="O331" s="78"/>
      <c r="P331" s="88" t="s">
        <v>1340</v>
      </c>
      <c r="Q331" s="89" t="s">
        <v>298</v>
      </c>
      <c r="R331" s="89" t="s">
        <v>1341</v>
      </c>
      <c r="S331" s="76"/>
    </row>
    <row r="332" spans="1:19" ht="18" hidden="1" customHeight="1" x14ac:dyDescent="0.3">
      <c r="A332" s="151">
        <v>331</v>
      </c>
      <c r="B332" s="152" t="s">
        <v>250</v>
      </c>
      <c r="C332" s="153" t="s">
        <v>3</v>
      </c>
      <c r="D332" s="178" t="s">
        <v>154</v>
      </c>
      <c r="E332" s="155" t="s">
        <v>13</v>
      </c>
      <c r="F332" s="156"/>
      <c r="G332" s="157" t="s">
        <v>1342</v>
      </c>
      <c r="H332" s="158" t="s">
        <v>1343</v>
      </c>
      <c r="I332" s="159"/>
      <c r="J332" s="160"/>
      <c r="K332" s="156"/>
      <c r="L332" s="156"/>
      <c r="M332" s="171" t="s">
        <v>257</v>
      </c>
      <c r="N332" s="162"/>
      <c r="O332" s="163" t="s">
        <v>354</v>
      </c>
      <c r="P332" s="164" t="s">
        <v>1344</v>
      </c>
      <c r="Q332" s="165" t="s">
        <v>355</v>
      </c>
      <c r="R332" s="165" t="s">
        <v>1345</v>
      </c>
      <c r="S332" s="151"/>
    </row>
    <row r="333" spans="1:19" ht="18" hidden="1" customHeight="1" x14ac:dyDescent="0.3">
      <c r="A333" s="76">
        <v>332</v>
      </c>
      <c r="B333" s="166" t="s">
        <v>250</v>
      </c>
      <c r="C333" s="167" t="s">
        <v>3</v>
      </c>
      <c r="D333" s="179" t="s">
        <v>154</v>
      </c>
      <c r="E333" s="80" t="s">
        <v>13</v>
      </c>
      <c r="F333" s="81"/>
      <c r="G333" s="82" t="s">
        <v>1346</v>
      </c>
      <c r="H333" s="83" t="s">
        <v>1347</v>
      </c>
      <c r="I333" s="84"/>
      <c r="J333" s="85"/>
      <c r="K333" s="81"/>
      <c r="L333" s="81"/>
      <c r="M333" s="171" t="s">
        <v>257</v>
      </c>
      <c r="N333" s="87"/>
      <c r="O333" s="78" t="s">
        <v>290</v>
      </c>
      <c r="P333" s="88" t="s">
        <v>54</v>
      </c>
      <c r="Q333" s="89" t="s">
        <v>152</v>
      </c>
      <c r="R333" s="89" t="s">
        <v>1348</v>
      </c>
      <c r="S333" s="76"/>
    </row>
    <row r="334" spans="1:19" ht="18" hidden="1" customHeight="1" x14ac:dyDescent="0.3">
      <c r="A334" s="151">
        <v>333</v>
      </c>
      <c r="B334" s="152" t="s">
        <v>250</v>
      </c>
      <c r="C334" s="153" t="s">
        <v>3</v>
      </c>
      <c r="D334" s="178" t="s">
        <v>154</v>
      </c>
      <c r="E334" s="155" t="s">
        <v>13</v>
      </c>
      <c r="F334" s="156"/>
      <c r="G334" s="157" t="s">
        <v>1349</v>
      </c>
      <c r="H334" s="158" t="s">
        <v>1350</v>
      </c>
      <c r="I334" s="159"/>
      <c r="J334" s="160"/>
      <c r="K334" s="156"/>
      <c r="L334" s="156"/>
      <c r="M334" s="171" t="s">
        <v>257</v>
      </c>
      <c r="N334" s="162"/>
      <c r="O334" s="163" t="s">
        <v>290</v>
      </c>
      <c r="P334" s="164" t="s">
        <v>54</v>
      </c>
      <c r="Q334" s="165" t="s">
        <v>381</v>
      </c>
      <c r="R334" s="165" t="s">
        <v>1351</v>
      </c>
      <c r="S334" s="151"/>
    </row>
    <row r="335" spans="1:19" ht="18" hidden="1" customHeight="1" x14ac:dyDescent="0.3">
      <c r="A335" s="76">
        <v>334</v>
      </c>
      <c r="B335" s="166" t="s">
        <v>250</v>
      </c>
      <c r="C335" s="167" t="s">
        <v>3</v>
      </c>
      <c r="D335" s="179" t="s">
        <v>154</v>
      </c>
      <c r="E335" s="80" t="s">
        <v>13</v>
      </c>
      <c r="F335" s="81"/>
      <c r="G335" s="82" t="s">
        <v>1352</v>
      </c>
      <c r="H335" s="83" t="s">
        <v>1353</v>
      </c>
      <c r="I335" s="84"/>
      <c r="J335" s="85" t="s">
        <v>186</v>
      </c>
      <c r="K335" s="81"/>
      <c r="L335" s="81"/>
      <c r="M335" s="171" t="s">
        <v>257</v>
      </c>
      <c r="N335" s="87"/>
      <c r="O335" s="78" t="s">
        <v>290</v>
      </c>
      <c r="P335" s="88" t="s">
        <v>54</v>
      </c>
      <c r="Q335" s="89" t="s">
        <v>264</v>
      </c>
      <c r="R335" s="89" t="s">
        <v>1354</v>
      </c>
      <c r="S335" s="76"/>
    </row>
    <row r="336" spans="1:19" ht="18" hidden="1" customHeight="1" x14ac:dyDescent="0.3">
      <c r="A336" s="151">
        <v>335</v>
      </c>
      <c r="B336" s="152" t="s">
        <v>250</v>
      </c>
      <c r="C336" s="153" t="s">
        <v>3</v>
      </c>
      <c r="D336" s="178" t="s">
        <v>154</v>
      </c>
      <c r="E336" s="155" t="s">
        <v>13</v>
      </c>
      <c r="F336" s="156"/>
      <c r="G336" s="157" t="s">
        <v>1355</v>
      </c>
      <c r="H336" s="158" t="s">
        <v>1356</v>
      </c>
      <c r="I336" s="159"/>
      <c r="J336" s="160"/>
      <c r="K336" s="156"/>
      <c r="L336" s="156"/>
      <c r="M336" s="171" t="s">
        <v>257</v>
      </c>
      <c r="N336" s="162"/>
      <c r="O336" s="163" t="s">
        <v>354</v>
      </c>
      <c r="P336" s="164" t="s">
        <v>340</v>
      </c>
      <c r="Q336" s="165" t="s">
        <v>381</v>
      </c>
      <c r="R336" s="165" t="s">
        <v>1357</v>
      </c>
      <c r="S336" s="151"/>
    </row>
    <row r="337" spans="1:19" ht="18" hidden="1" customHeight="1" x14ac:dyDescent="0.3">
      <c r="A337" s="76">
        <v>336</v>
      </c>
      <c r="B337" s="166" t="s">
        <v>250</v>
      </c>
      <c r="C337" s="167" t="s">
        <v>3</v>
      </c>
      <c r="D337" s="179" t="s">
        <v>154</v>
      </c>
      <c r="E337" s="80" t="s">
        <v>13</v>
      </c>
      <c r="F337" s="81"/>
      <c r="G337" s="82" t="s">
        <v>1358</v>
      </c>
      <c r="H337" s="83" t="s">
        <v>1359</v>
      </c>
      <c r="I337" s="84"/>
      <c r="J337" s="85"/>
      <c r="K337" s="81"/>
      <c r="L337" s="81"/>
      <c r="M337" s="171" t="s">
        <v>257</v>
      </c>
      <c r="N337" s="87"/>
      <c r="O337" s="78" t="s">
        <v>354</v>
      </c>
      <c r="P337" s="88" t="s">
        <v>54</v>
      </c>
      <c r="Q337" s="89" t="s">
        <v>381</v>
      </c>
      <c r="R337" s="89" t="s">
        <v>1360</v>
      </c>
      <c r="S337" s="76"/>
    </row>
    <row r="338" spans="1:19" ht="18" hidden="1" customHeight="1" x14ac:dyDescent="0.3">
      <c r="A338" s="151">
        <v>337</v>
      </c>
      <c r="B338" s="152" t="s">
        <v>250</v>
      </c>
      <c r="C338" s="153" t="s">
        <v>3</v>
      </c>
      <c r="D338" s="178" t="s">
        <v>154</v>
      </c>
      <c r="E338" s="155" t="s">
        <v>13</v>
      </c>
      <c r="F338" s="156"/>
      <c r="G338" s="157" t="s">
        <v>1361</v>
      </c>
      <c r="H338" s="158" t="s">
        <v>1362</v>
      </c>
      <c r="I338" s="159"/>
      <c r="J338" s="160"/>
      <c r="K338" s="156"/>
      <c r="L338" s="156"/>
      <c r="M338" s="171" t="s">
        <v>257</v>
      </c>
      <c r="N338" s="162"/>
      <c r="O338" s="163" t="s">
        <v>354</v>
      </c>
      <c r="P338" s="164" t="s">
        <v>54</v>
      </c>
      <c r="Q338" s="165" t="s">
        <v>258</v>
      </c>
      <c r="R338" s="165" t="s">
        <v>1363</v>
      </c>
      <c r="S338" s="151"/>
    </row>
    <row r="339" spans="1:19" ht="18" hidden="1" customHeight="1" x14ac:dyDescent="0.3">
      <c r="A339" s="76">
        <v>338</v>
      </c>
      <c r="B339" s="166" t="s">
        <v>250</v>
      </c>
      <c r="C339" s="167" t="s">
        <v>3</v>
      </c>
      <c r="D339" s="179" t="s">
        <v>154</v>
      </c>
      <c r="E339" s="80" t="s">
        <v>13</v>
      </c>
      <c r="F339" s="81"/>
      <c r="G339" s="82" t="s">
        <v>1364</v>
      </c>
      <c r="H339" s="83" t="s">
        <v>1365</v>
      </c>
      <c r="I339" s="84"/>
      <c r="J339" s="85"/>
      <c r="K339" s="81"/>
      <c r="L339" s="81"/>
      <c r="M339" s="171" t="s">
        <v>257</v>
      </c>
      <c r="N339" s="87"/>
      <c r="O339" s="78" t="s">
        <v>354</v>
      </c>
      <c r="P339" s="88" t="s">
        <v>54</v>
      </c>
      <c r="Q339" s="89" t="s">
        <v>254</v>
      </c>
      <c r="R339" s="89" t="s">
        <v>1366</v>
      </c>
      <c r="S339" s="76"/>
    </row>
    <row r="340" spans="1:19" ht="18" hidden="1" customHeight="1" x14ac:dyDescent="0.3">
      <c r="A340" s="151">
        <v>339</v>
      </c>
      <c r="B340" s="152" t="s">
        <v>250</v>
      </c>
      <c r="C340" s="153" t="s">
        <v>3</v>
      </c>
      <c r="D340" s="178" t="s">
        <v>154</v>
      </c>
      <c r="E340" s="155" t="s">
        <v>13</v>
      </c>
      <c r="F340" s="156"/>
      <c r="G340" s="157" t="s">
        <v>1367</v>
      </c>
      <c r="H340" s="158" t="s">
        <v>1368</v>
      </c>
      <c r="I340" s="159"/>
      <c r="J340" s="160"/>
      <c r="K340" s="156"/>
      <c r="L340" s="156"/>
      <c r="M340" s="171" t="s">
        <v>257</v>
      </c>
      <c r="N340" s="162"/>
      <c r="O340" s="163" t="s">
        <v>354</v>
      </c>
      <c r="P340" s="164" t="s">
        <v>54</v>
      </c>
      <c r="Q340" s="165" t="s">
        <v>254</v>
      </c>
      <c r="R340" s="165" t="s">
        <v>1369</v>
      </c>
      <c r="S340" s="151"/>
    </row>
    <row r="341" spans="1:19" ht="18" hidden="1" customHeight="1" x14ac:dyDescent="0.3">
      <c r="A341" s="76">
        <v>340</v>
      </c>
      <c r="B341" s="166" t="s">
        <v>250</v>
      </c>
      <c r="C341" s="167" t="s">
        <v>3</v>
      </c>
      <c r="D341" s="179" t="s">
        <v>154</v>
      </c>
      <c r="E341" s="80" t="s">
        <v>13</v>
      </c>
      <c r="F341" s="81"/>
      <c r="G341" s="82" t="s">
        <v>1370</v>
      </c>
      <c r="H341" s="83" t="s">
        <v>1371</v>
      </c>
      <c r="I341" s="84"/>
      <c r="J341" s="85"/>
      <c r="K341" s="81"/>
      <c r="L341" s="81"/>
      <c r="M341" s="171" t="s">
        <v>257</v>
      </c>
      <c r="N341" s="87"/>
      <c r="O341" s="78" t="s">
        <v>354</v>
      </c>
      <c r="P341" s="88" t="s">
        <v>54</v>
      </c>
      <c r="Q341" s="89" t="s">
        <v>264</v>
      </c>
      <c r="R341" s="89" t="s">
        <v>1372</v>
      </c>
      <c r="S341" s="76"/>
    </row>
    <row r="342" spans="1:19" ht="18" hidden="1" customHeight="1" x14ac:dyDescent="0.3">
      <c r="A342" s="151">
        <v>341</v>
      </c>
      <c r="B342" s="152" t="s">
        <v>250</v>
      </c>
      <c r="C342" s="153" t="s">
        <v>3</v>
      </c>
      <c r="D342" s="178" t="s">
        <v>154</v>
      </c>
      <c r="E342" s="155" t="s">
        <v>13</v>
      </c>
      <c r="F342" s="156"/>
      <c r="G342" s="157" t="s">
        <v>1373</v>
      </c>
      <c r="H342" s="158" t="s">
        <v>1374</v>
      </c>
      <c r="I342" s="159"/>
      <c r="J342" s="160" t="s">
        <v>186</v>
      </c>
      <c r="K342" s="156"/>
      <c r="L342" s="156"/>
      <c r="M342" s="171" t="s">
        <v>257</v>
      </c>
      <c r="N342" s="162"/>
      <c r="O342" s="163" t="s">
        <v>354</v>
      </c>
      <c r="P342" s="164" t="s">
        <v>54</v>
      </c>
      <c r="Q342" s="165" t="s">
        <v>264</v>
      </c>
      <c r="R342" s="165" t="s">
        <v>1375</v>
      </c>
      <c r="S342" s="151"/>
    </row>
    <row r="343" spans="1:19" ht="18" hidden="1" customHeight="1" x14ac:dyDescent="0.3">
      <c r="A343" s="76">
        <v>342</v>
      </c>
      <c r="B343" s="166" t="s">
        <v>250</v>
      </c>
      <c r="C343" s="167" t="s">
        <v>3</v>
      </c>
      <c r="D343" s="179" t="s">
        <v>154</v>
      </c>
      <c r="E343" s="80" t="s">
        <v>13</v>
      </c>
      <c r="F343" s="81"/>
      <c r="G343" s="82" t="s">
        <v>1376</v>
      </c>
      <c r="H343" s="83" t="s">
        <v>1377</v>
      </c>
      <c r="I343" s="84"/>
      <c r="J343" s="85"/>
      <c r="K343" s="81"/>
      <c r="L343" s="81"/>
      <c r="M343" s="171" t="s">
        <v>257</v>
      </c>
      <c r="N343" s="87"/>
      <c r="O343" s="78" t="s">
        <v>354</v>
      </c>
      <c r="P343" s="88" t="s">
        <v>54</v>
      </c>
      <c r="Q343" s="89" t="s">
        <v>264</v>
      </c>
      <c r="R343" s="89" t="s">
        <v>1378</v>
      </c>
      <c r="S343" s="76"/>
    </row>
    <row r="344" spans="1:19" ht="18" hidden="1" customHeight="1" x14ac:dyDescent="0.3">
      <c r="A344" s="151">
        <v>343</v>
      </c>
      <c r="B344" s="152" t="s">
        <v>250</v>
      </c>
      <c r="C344" s="153" t="s">
        <v>3</v>
      </c>
      <c r="D344" s="178" t="s">
        <v>154</v>
      </c>
      <c r="E344" s="155" t="s">
        <v>13</v>
      </c>
      <c r="F344" s="156"/>
      <c r="G344" s="157" t="s">
        <v>1379</v>
      </c>
      <c r="H344" s="158" t="s">
        <v>1380</v>
      </c>
      <c r="I344" s="159"/>
      <c r="J344" s="160" t="s">
        <v>186</v>
      </c>
      <c r="K344" s="156"/>
      <c r="L344" s="156"/>
      <c r="M344" s="171" t="s">
        <v>257</v>
      </c>
      <c r="N344" s="162"/>
      <c r="O344" s="163" t="s">
        <v>290</v>
      </c>
      <c r="P344" s="164" t="s">
        <v>54</v>
      </c>
      <c r="Q344" s="165" t="s">
        <v>381</v>
      </c>
      <c r="R344" s="165" t="s">
        <v>1381</v>
      </c>
      <c r="S344" s="151"/>
    </row>
    <row r="345" spans="1:19" ht="18" hidden="1" customHeight="1" x14ac:dyDescent="0.3">
      <c r="A345" s="76">
        <v>344</v>
      </c>
      <c r="B345" s="166" t="s">
        <v>250</v>
      </c>
      <c r="C345" s="167" t="s">
        <v>3</v>
      </c>
      <c r="D345" s="179" t="s">
        <v>154</v>
      </c>
      <c r="E345" s="80" t="s">
        <v>13</v>
      </c>
      <c r="F345" s="81"/>
      <c r="G345" s="82" t="s">
        <v>1382</v>
      </c>
      <c r="H345" s="83" t="s">
        <v>1383</v>
      </c>
      <c r="I345" s="84"/>
      <c r="J345" s="85"/>
      <c r="K345" s="81"/>
      <c r="L345" s="81"/>
      <c r="M345" s="171" t="s">
        <v>257</v>
      </c>
      <c r="N345" s="87"/>
      <c r="O345" s="78" t="s">
        <v>290</v>
      </c>
      <c r="P345" s="88" t="s">
        <v>54</v>
      </c>
      <c r="Q345" s="89" t="s">
        <v>264</v>
      </c>
      <c r="R345" s="89" t="s">
        <v>1384</v>
      </c>
      <c r="S345" s="76"/>
    </row>
    <row r="346" spans="1:19" ht="18" hidden="1" customHeight="1" x14ac:dyDescent="0.3">
      <c r="A346" s="151">
        <v>345</v>
      </c>
      <c r="B346" s="152" t="s">
        <v>250</v>
      </c>
      <c r="C346" s="153" t="s">
        <v>3</v>
      </c>
      <c r="D346" s="178" t="s">
        <v>154</v>
      </c>
      <c r="E346" s="155" t="s">
        <v>13</v>
      </c>
      <c r="F346" s="156"/>
      <c r="G346" s="157" t="s">
        <v>1385</v>
      </c>
      <c r="H346" s="158" t="s">
        <v>1386</v>
      </c>
      <c r="I346" s="159"/>
      <c r="J346" s="160"/>
      <c r="K346" s="156"/>
      <c r="L346" s="156"/>
      <c r="M346" s="171" t="s">
        <v>257</v>
      </c>
      <c r="N346" s="162"/>
      <c r="O346" s="163" t="s">
        <v>290</v>
      </c>
      <c r="P346" s="164" t="s">
        <v>54</v>
      </c>
      <c r="Q346" s="165" t="s">
        <v>264</v>
      </c>
      <c r="R346" s="165" t="s">
        <v>1387</v>
      </c>
      <c r="S346" s="151"/>
    </row>
    <row r="347" spans="1:19" ht="18" hidden="1" customHeight="1" x14ac:dyDescent="0.3">
      <c r="A347" s="76">
        <v>346</v>
      </c>
      <c r="B347" s="166" t="s">
        <v>250</v>
      </c>
      <c r="C347" s="167" t="s">
        <v>3</v>
      </c>
      <c r="D347" s="179" t="s">
        <v>154</v>
      </c>
      <c r="E347" s="80" t="s">
        <v>13</v>
      </c>
      <c r="F347" s="81"/>
      <c r="G347" s="82" t="s">
        <v>1388</v>
      </c>
      <c r="H347" s="83" t="s">
        <v>1389</v>
      </c>
      <c r="I347" s="84"/>
      <c r="J347" s="85"/>
      <c r="K347" s="81"/>
      <c r="L347" s="81"/>
      <c r="M347" s="171" t="s">
        <v>257</v>
      </c>
      <c r="N347" s="87"/>
      <c r="O347" s="78" t="s">
        <v>290</v>
      </c>
      <c r="P347" s="88" t="s">
        <v>73</v>
      </c>
      <c r="Q347" s="89" t="s">
        <v>254</v>
      </c>
      <c r="R347" s="89" t="s">
        <v>1390</v>
      </c>
      <c r="S347" s="76"/>
    </row>
    <row r="348" spans="1:19" ht="18" hidden="1" customHeight="1" x14ac:dyDescent="0.3">
      <c r="A348" s="151">
        <v>347</v>
      </c>
      <c r="B348" s="152" t="s">
        <v>250</v>
      </c>
      <c r="C348" s="153" t="s">
        <v>3</v>
      </c>
      <c r="D348" s="178" t="s">
        <v>154</v>
      </c>
      <c r="E348" s="155" t="s">
        <v>14</v>
      </c>
      <c r="F348" s="156"/>
      <c r="G348" s="157" t="s">
        <v>1391</v>
      </c>
      <c r="H348" s="158" t="s">
        <v>1392</v>
      </c>
      <c r="I348" s="159"/>
      <c r="J348" s="160"/>
      <c r="K348" s="156"/>
      <c r="L348" s="156"/>
      <c r="M348" s="171" t="s">
        <v>40</v>
      </c>
      <c r="N348" s="162" t="s">
        <v>1393</v>
      </c>
      <c r="O348" s="163"/>
      <c r="P348" s="164" t="s">
        <v>54</v>
      </c>
      <c r="Q348" s="165" t="s">
        <v>60</v>
      </c>
      <c r="R348" s="165" t="s">
        <v>1394</v>
      </c>
      <c r="S348" s="151"/>
    </row>
    <row r="349" spans="1:19" ht="18" hidden="1" customHeight="1" x14ac:dyDescent="0.3">
      <c r="A349" s="76">
        <v>348</v>
      </c>
      <c r="B349" s="166" t="s">
        <v>250</v>
      </c>
      <c r="C349" s="167" t="s">
        <v>3</v>
      </c>
      <c r="D349" s="179" t="s">
        <v>154</v>
      </c>
      <c r="E349" s="80" t="s">
        <v>14</v>
      </c>
      <c r="F349" s="81"/>
      <c r="G349" s="82" t="s">
        <v>1395</v>
      </c>
      <c r="H349" s="83" t="s">
        <v>1396</v>
      </c>
      <c r="I349" s="84"/>
      <c r="J349" s="85"/>
      <c r="K349" s="81"/>
      <c r="L349" s="81"/>
      <c r="M349" s="86" t="s">
        <v>40</v>
      </c>
      <c r="N349" s="87" t="s">
        <v>1397</v>
      </c>
      <c r="O349" s="78"/>
      <c r="P349" s="88" t="s">
        <v>1398</v>
      </c>
      <c r="Q349" s="89" t="s">
        <v>1399</v>
      </c>
      <c r="R349" s="89" t="s">
        <v>1400</v>
      </c>
      <c r="S349" s="76"/>
    </row>
    <row r="350" spans="1:19" ht="18" hidden="1" customHeight="1" x14ac:dyDescent="0.3">
      <c r="A350" s="151">
        <v>349</v>
      </c>
      <c r="B350" s="152" t="s">
        <v>250</v>
      </c>
      <c r="C350" s="153" t="s">
        <v>3</v>
      </c>
      <c r="D350" s="178" t="s">
        <v>154</v>
      </c>
      <c r="E350" s="155" t="s">
        <v>14</v>
      </c>
      <c r="F350" s="156"/>
      <c r="G350" s="157" t="s">
        <v>1401</v>
      </c>
      <c r="H350" s="158" t="s">
        <v>1402</v>
      </c>
      <c r="I350" s="159"/>
      <c r="J350" s="160"/>
      <c r="K350" s="156"/>
      <c r="L350" s="156"/>
      <c r="M350" s="171" t="s">
        <v>40</v>
      </c>
      <c r="N350" s="162" t="s">
        <v>1403</v>
      </c>
      <c r="O350" s="163"/>
      <c r="P350" s="164" t="s">
        <v>1404</v>
      </c>
      <c r="Q350" s="165" t="s">
        <v>345</v>
      </c>
      <c r="R350" s="165" t="s">
        <v>1405</v>
      </c>
      <c r="S350" s="151"/>
    </row>
    <row r="351" spans="1:19" ht="18" hidden="1" customHeight="1" x14ac:dyDescent="0.3">
      <c r="A351" s="76">
        <v>350</v>
      </c>
      <c r="B351" s="166" t="s">
        <v>250</v>
      </c>
      <c r="C351" s="167" t="s">
        <v>3</v>
      </c>
      <c r="D351" s="179" t="s">
        <v>154</v>
      </c>
      <c r="E351" s="80" t="s">
        <v>14</v>
      </c>
      <c r="F351" s="81"/>
      <c r="G351" s="82" t="s">
        <v>1406</v>
      </c>
      <c r="H351" s="83" t="s">
        <v>1407</v>
      </c>
      <c r="I351" s="84"/>
      <c r="J351" s="85"/>
      <c r="K351" s="81"/>
      <c r="L351" s="81"/>
      <c r="M351" s="86" t="s">
        <v>40</v>
      </c>
      <c r="N351" s="87" t="s">
        <v>209</v>
      </c>
      <c r="O351" s="78"/>
      <c r="P351" s="88" t="s">
        <v>790</v>
      </c>
      <c r="Q351" s="89" t="s">
        <v>298</v>
      </c>
      <c r="R351" s="89" t="s">
        <v>1408</v>
      </c>
      <c r="S351" s="76"/>
    </row>
    <row r="352" spans="1:19" ht="18" hidden="1" customHeight="1" x14ac:dyDescent="0.3">
      <c r="A352" s="151">
        <v>351</v>
      </c>
      <c r="B352" s="152" t="s">
        <v>250</v>
      </c>
      <c r="C352" s="153" t="s">
        <v>3</v>
      </c>
      <c r="D352" s="178" t="s">
        <v>154</v>
      </c>
      <c r="E352" s="155" t="s">
        <v>13</v>
      </c>
      <c r="F352" s="156"/>
      <c r="G352" s="157" t="s">
        <v>1409</v>
      </c>
      <c r="H352" s="158" t="s">
        <v>1410</v>
      </c>
      <c r="I352" s="159"/>
      <c r="J352" s="160"/>
      <c r="K352" s="156"/>
      <c r="L352" s="156"/>
      <c r="M352" s="161" t="s">
        <v>257</v>
      </c>
      <c r="N352" s="162"/>
      <c r="O352" s="163" t="s">
        <v>290</v>
      </c>
      <c r="P352" s="164" t="s">
        <v>54</v>
      </c>
      <c r="Q352" s="165" t="s">
        <v>254</v>
      </c>
      <c r="R352" s="165" t="s">
        <v>1411</v>
      </c>
      <c r="S352" s="151"/>
    </row>
    <row r="353" spans="1:19" ht="18" hidden="1" customHeight="1" x14ac:dyDescent="0.3">
      <c r="A353" s="76">
        <v>352</v>
      </c>
      <c r="B353" s="166" t="s">
        <v>250</v>
      </c>
      <c r="C353" s="167" t="s">
        <v>3</v>
      </c>
      <c r="D353" s="179" t="s">
        <v>154</v>
      </c>
      <c r="E353" s="80" t="s">
        <v>13</v>
      </c>
      <c r="F353" s="81"/>
      <c r="G353" s="82" t="s">
        <v>1412</v>
      </c>
      <c r="H353" s="83" t="s">
        <v>1413</v>
      </c>
      <c r="I353" s="84"/>
      <c r="J353" s="85"/>
      <c r="K353" s="81"/>
      <c r="L353" s="81"/>
      <c r="M353" s="161" t="s">
        <v>257</v>
      </c>
      <c r="N353" s="87"/>
      <c r="O353" s="78" t="s">
        <v>290</v>
      </c>
      <c r="P353" s="88" t="s">
        <v>54</v>
      </c>
      <c r="Q353" s="89" t="s">
        <v>254</v>
      </c>
      <c r="R353" s="89" t="s">
        <v>1414</v>
      </c>
      <c r="S353" s="76"/>
    </row>
    <row r="354" spans="1:19" ht="18" hidden="1" customHeight="1" x14ac:dyDescent="0.3">
      <c r="A354" s="151">
        <v>353</v>
      </c>
      <c r="B354" s="152" t="s">
        <v>250</v>
      </c>
      <c r="C354" s="153" t="s">
        <v>3</v>
      </c>
      <c r="D354" s="178" t="s">
        <v>154</v>
      </c>
      <c r="E354" s="155" t="s">
        <v>13</v>
      </c>
      <c r="F354" s="156"/>
      <c r="G354" s="157" t="s">
        <v>1415</v>
      </c>
      <c r="H354" s="158" t="s">
        <v>1416</v>
      </c>
      <c r="I354" s="159"/>
      <c r="J354" s="160"/>
      <c r="K354" s="156"/>
      <c r="L354" s="156"/>
      <c r="M354" s="161" t="s">
        <v>257</v>
      </c>
      <c r="N354" s="162"/>
      <c r="O354" s="163" t="s">
        <v>290</v>
      </c>
      <c r="P354" s="164" t="s">
        <v>1417</v>
      </c>
      <c r="Q354" s="165" t="s">
        <v>264</v>
      </c>
      <c r="R354" s="165" t="s">
        <v>1418</v>
      </c>
      <c r="S354" s="151"/>
    </row>
    <row r="355" spans="1:19" ht="18" hidden="1" customHeight="1" x14ac:dyDescent="0.3">
      <c r="A355" s="76">
        <v>354</v>
      </c>
      <c r="B355" s="166" t="s">
        <v>250</v>
      </c>
      <c r="C355" s="167" t="s">
        <v>3</v>
      </c>
      <c r="D355" s="179" t="s">
        <v>154</v>
      </c>
      <c r="E355" s="80" t="s">
        <v>13</v>
      </c>
      <c r="F355" s="81"/>
      <c r="G355" s="82" t="s">
        <v>1419</v>
      </c>
      <c r="H355" s="83" t="s">
        <v>1420</v>
      </c>
      <c r="I355" s="84"/>
      <c r="J355" s="85" t="s">
        <v>186</v>
      </c>
      <c r="K355" s="81"/>
      <c r="L355" s="81"/>
      <c r="M355" s="161" t="s">
        <v>257</v>
      </c>
      <c r="N355" s="87"/>
      <c r="O355" s="78" t="s">
        <v>290</v>
      </c>
      <c r="P355" s="88" t="s">
        <v>54</v>
      </c>
      <c r="Q355" s="89" t="s">
        <v>258</v>
      </c>
      <c r="R355" s="89" t="s">
        <v>1421</v>
      </c>
      <c r="S355" s="76"/>
    </row>
    <row r="356" spans="1:19" ht="18" hidden="1" customHeight="1" x14ac:dyDescent="0.3">
      <c r="A356" s="151">
        <v>355</v>
      </c>
      <c r="B356" s="152" t="s">
        <v>250</v>
      </c>
      <c r="C356" s="153" t="s">
        <v>3</v>
      </c>
      <c r="D356" s="178" t="s">
        <v>154</v>
      </c>
      <c r="E356" s="155" t="s">
        <v>13</v>
      </c>
      <c r="F356" s="156"/>
      <c r="G356" s="157" t="s">
        <v>1422</v>
      </c>
      <c r="H356" s="158" t="s">
        <v>1423</v>
      </c>
      <c r="I356" s="159"/>
      <c r="J356" s="160"/>
      <c r="K356" s="156"/>
      <c r="L356" s="156"/>
      <c r="M356" s="161" t="s">
        <v>257</v>
      </c>
      <c r="N356" s="162"/>
      <c r="O356" s="163" t="s">
        <v>290</v>
      </c>
      <c r="P356" s="164" t="s">
        <v>291</v>
      </c>
      <c r="Q356" s="165" t="s">
        <v>254</v>
      </c>
      <c r="R356" s="165" t="s">
        <v>1424</v>
      </c>
      <c r="S356" s="151"/>
    </row>
    <row r="357" spans="1:19" ht="18" hidden="1" customHeight="1" x14ac:dyDescent="0.3">
      <c r="A357" s="76">
        <v>356</v>
      </c>
      <c r="B357" s="166" t="s">
        <v>250</v>
      </c>
      <c r="C357" s="167" t="s">
        <v>3</v>
      </c>
      <c r="D357" s="179" t="s">
        <v>154</v>
      </c>
      <c r="E357" s="80" t="s">
        <v>13</v>
      </c>
      <c r="F357" s="81"/>
      <c r="G357" s="82" t="s">
        <v>1425</v>
      </c>
      <c r="H357" s="83" t="s">
        <v>1426</v>
      </c>
      <c r="I357" s="84"/>
      <c r="J357" s="85" t="s">
        <v>186</v>
      </c>
      <c r="K357" s="81"/>
      <c r="L357" s="81"/>
      <c r="M357" s="161" t="s">
        <v>257</v>
      </c>
      <c r="N357" s="87"/>
      <c r="O357" s="78" t="s">
        <v>290</v>
      </c>
      <c r="P357" s="88" t="s">
        <v>54</v>
      </c>
      <c r="Q357" s="89" t="s">
        <v>264</v>
      </c>
      <c r="R357" s="89" t="s">
        <v>1427</v>
      </c>
      <c r="S357" s="76"/>
    </row>
    <row r="358" spans="1:19" ht="18" hidden="1" customHeight="1" x14ac:dyDescent="0.3">
      <c r="A358" s="151">
        <v>357</v>
      </c>
      <c r="B358" s="152" t="s">
        <v>250</v>
      </c>
      <c r="C358" s="153" t="s">
        <v>3</v>
      </c>
      <c r="D358" s="178" t="s">
        <v>154</v>
      </c>
      <c r="E358" s="155" t="s">
        <v>13</v>
      </c>
      <c r="F358" s="156"/>
      <c r="G358" s="157" t="s">
        <v>1428</v>
      </c>
      <c r="H358" s="158" t="s">
        <v>185</v>
      </c>
      <c r="I358" s="159"/>
      <c r="J358" s="160"/>
      <c r="K358" s="156"/>
      <c r="L358" s="156"/>
      <c r="M358" s="161" t="s">
        <v>257</v>
      </c>
      <c r="N358" s="162"/>
      <c r="O358" s="163" t="s">
        <v>290</v>
      </c>
      <c r="P358" s="164" t="s">
        <v>279</v>
      </c>
      <c r="Q358" s="165" t="s">
        <v>264</v>
      </c>
      <c r="R358" s="165" t="s">
        <v>1429</v>
      </c>
      <c r="S358" s="151"/>
    </row>
    <row r="359" spans="1:19" ht="18" hidden="1" customHeight="1" x14ac:dyDescent="0.3">
      <c r="A359" s="76">
        <v>358</v>
      </c>
      <c r="B359" s="166" t="s">
        <v>250</v>
      </c>
      <c r="C359" s="167" t="s">
        <v>3</v>
      </c>
      <c r="D359" s="179" t="s">
        <v>154</v>
      </c>
      <c r="E359" s="80" t="s">
        <v>14</v>
      </c>
      <c r="F359" s="81"/>
      <c r="G359" s="82" t="s">
        <v>1430</v>
      </c>
      <c r="H359" s="83" t="s">
        <v>1431</v>
      </c>
      <c r="I359" s="84"/>
      <c r="J359" s="85"/>
      <c r="K359" s="81"/>
      <c r="L359" s="81"/>
      <c r="M359" s="86" t="s">
        <v>40</v>
      </c>
      <c r="N359" s="87" t="s">
        <v>1432</v>
      </c>
      <c r="O359" s="78"/>
      <c r="P359" s="88" t="s">
        <v>54</v>
      </c>
      <c r="Q359" s="89" t="s">
        <v>298</v>
      </c>
      <c r="R359" s="89" t="s">
        <v>1433</v>
      </c>
      <c r="S359" s="76"/>
    </row>
    <row r="360" spans="1:19" ht="18" hidden="1" customHeight="1" x14ac:dyDescent="0.3">
      <c r="A360" s="151">
        <v>359</v>
      </c>
      <c r="B360" s="152" t="s">
        <v>250</v>
      </c>
      <c r="C360" s="153" t="s">
        <v>3</v>
      </c>
      <c r="D360" s="178" t="s">
        <v>154</v>
      </c>
      <c r="E360" s="155" t="s">
        <v>14</v>
      </c>
      <c r="F360" s="180" t="s">
        <v>86</v>
      </c>
      <c r="G360" s="157" t="s">
        <v>1434</v>
      </c>
      <c r="H360" s="158" t="s">
        <v>1435</v>
      </c>
      <c r="I360" s="159"/>
      <c r="J360" s="160"/>
      <c r="K360" s="156"/>
      <c r="L360" s="156"/>
      <c r="M360" s="171" t="s">
        <v>40</v>
      </c>
      <c r="N360" s="162" t="s">
        <v>1436</v>
      </c>
      <c r="O360" s="163"/>
      <c r="P360" s="164" t="s">
        <v>291</v>
      </c>
      <c r="Q360" s="165" t="s">
        <v>60</v>
      </c>
      <c r="R360" s="165" t="s">
        <v>1437</v>
      </c>
      <c r="S360" s="151"/>
    </row>
    <row r="361" spans="1:19" ht="18" hidden="1" customHeight="1" x14ac:dyDescent="0.3">
      <c r="A361" s="76">
        <v>360</v>
      </c>
      <c r="B361" s="166" t="s">
        <v>250</v>
      </c>
      <c r="C361" s="167" t="s">
        <v>3</v>
      </c>
      <c r="D361" s="179" t="s">
        <v>154</v>
      </c>
      <c r="E361" s="80" t="s">
        <v>14</v>
      </c>
      <c r="F361" s="81"/>
      <c r="G361" s="82" t="s">
        <v>1438</v>
      </c>
      <c r="H361" s="83" t="s">
        <v>1439</v>
      </c>
      <c r="I361" s="84"/>
      <c r="J361" s="85"/>
      <c r="K361" s="81"/>
      <c r="L361" s="81"/>
      <c r="M361" s="86" t="s">
        <v>40</v>
      </c>
      <c r="N361" s="87"/>
      <c r="O361" s="78"/>
      <c r="P361" s="88" t="s">
        <v>442</v>
      </c>
      <c r="Q361" s="89" t="s">
        <v>60</v>
      </c>
      <c r="R361" s="89" t="s">
        <v>1440</v>
      </c>
      <c r="S361" s="76"/>
    </row>
    <row r="362" spans="1:19" ht="18" hidden="1" customHeight="1" x14ac:dyDescent="0.3">
      <c r="A362" s="151">
        <v>361</v>
      </c>
      <c r="B362" s="152" t="s">
        <v>250</v>
      </c>
      <c r="C362" s="153" t="s">
        <v>3</v>
      </c>
      <c r="D362" s="178" t="s">
        <v>154</v>
      </c>
      <c r="E362" s="155" t="s">
        <v>14</v>
      </c>
      <c r="F362" s="156"/>
      <c r="G362" s="157" t="s">
        <v>1441</v>
      </c>
      <c r="H362" s="158" t="s">
        <v>966</v>
      </c>
      <c r="I362" s="159"/>
      <c r="J362" s="160"/>
      <c r="K362" s="156"/>
      <c r="L362" s="156"/>
      <c r="M362" s="171" t="s">
        <v>40</v>
      </c>
      <c r="N362" s="162" t="s">
        <v>1094</v>
      </c>
      <c r="O362" s="163"/>
      <c r="P362" s="164" t="s">
        <v>894</v>
      </c>
      <c r="Q362" s="165" t="s">
        <v>55</v>
      </c>
      <c r="R362" s="165" t="s">
        <v>1442</v>
      </c>
      <c r="S362" s="151"/>
    </row>
    <row r="363" spans="1:19" ht="18" hidden="1" customHeight="1" x14ac:dyDescent="0.3">
      <c r="A363" s="76">
        <v>362</v>
      </c>
      <c r="B363" s="166" t="s">
        <v>250</v>
      </c>
      <c r="C363" s="167" t="s">
        <v>3</v>
      </c>
      <c r="D363" s="179" t="s">
        <v>154</v>
      </c>
      <c r="E363" s="80" t="s">
        <v>14</v>
      </c>
      <c r="F363" s="81"/>
      <c r="G363" s="82" t="s">
        <v>1443</v>
      </c>
      <c r="H363" s="83" t="s">
        <v>1444</v>
      </c>
      <c r="I363" s="84"/>
      <c r="J363" s="85" t="s">
        <v>186</v>
      </c>
      <c r="K363" s="81"/>
      <c r="L363" s="81"/>
      <c r="M363" s="86" t="s">
        <v>40</v>
      </c>
      <c r="N363" s="87" t="s">
        <v>1445</v>
      </c>
      <c r="O363" s="78"/>
      <c r="P363" s="88" t="s">
        <v>54</v>
      </c>
      <c r="Q363" s="89" t="s">
        <v>422</v>
      </c>
      <c r="R363" s="89" t="s">
        <v>1446</v>
      </c>
      <c r="S363" s="76"/>
    </row>
    <row r="364" spans="1:19" ht="18" hidden="1" customHeight="1" x14ac:dyDescent="0.3">
      <c r="A364" s="151">
        <v>363</v>
      </c>
      <c r="B364" s="152" t="s">
        <v>250</v>
      </c>
      <c r="C364" s="153" t="s">
        <v>3</v>
      </c>
      <c r="D364" s="178" t="s">
        <v>154</v>
      </c>
      <c r="E364" s="155" t="s">
        <v>14</v>
      </c>
      <c r="F364" s="156"/>
      <c r="G364" s="157" t="s">
        <v>1447</v>
      </c>
      <c r="H364" s="158" t="s">
        <v>1448</v>
      </c>
      <c r="I364" s="159"/>
      <c r="J364" s="160"/>
      <c r="K364" s="156"/>
      <c r="L364" s="156"/>
      <c r="M364" s="171" t="s">
        <v>40</v>
      </c>
      <c r="N364" s="162"/>
      <c r="O364" s="163"/>
      <c r="P364" s="164" t="s">
        <v>54</v>
      </c>
      <c r="Q364" s="165" t="s">
        <v>816</v>
      </c>
      <c r="R364" s="165" t="s">
        <v>1449</v>
      </c>
      <c r="S364" s="151"/>
    </row>
    <row r="365" spans="1:19" ht="18" hidden="1" customHeight="1" x14ac:dyDescent="0.3">
      <c r="A365" s="181">
        <v>364</v>
      </c>
      <c r="B365" s="182" t="s">
        <v>250</v>
      </c>
      <c r="C365" s="183" t="s">
        <v>3</v>
      </c>
      <c r="D365" s="184" t="s">
        <v>154</v>
      </c>
      <c r="E365" s="185" t="s">
        <v>14</v>
      </c>
      <c r="F365" s="186"/>
      <c r="G365" s="187" t="s">
        <v>1450</v>
      </c>
      <c r="H365" s="188" t="s">
        <v>1451</v>
      </c>
      <c r="I365" s="189"/>
      <c r="J365" s="190" t="s">
        <v>186</v>
      </c>
      <c r="K365" s="186"/>
      <c r="L365" s="186"/>
      <c r="M365" s="191" t="s">
        <v>40</v>
      </c>
      <c r="N365" s="192"/>
      <c r="O365" s="193"/>
      <c r="P365" s="194" t="s">
        <v>1452</v>
      </c>
      <c r="Q365" s="195" t="s">
        <v>438</v>
      </c>
      <c r="R365" s="195" t="s">
        <v>1453</v>
      </c>
      <c r="S365" s="181"/>
    </row>
    <row r="366" spans="1:19" ht="18" hidden="1" customHeight="1" x14ac:dyDescent="0.3">
      <c r="A366" s="151">
        <v>365</v>
      </c>
      <c r="B366" s="152" t="s">
        <v>250</v>
      </c>
      <c r="C366" s="153" t="s">
        <v>3</v>
      </c>
      <c r="D366" s="178" t="s">
        <v>154</v>
      </c>
      <c r="E366" s="155" t="s">
        <v>14</v>
      </c>
      <c r="F366" s="180" t="s">
        <v>92</v>
      </c>
      <c r="G366" s="157" t="s">
        <v>1454</v>
      </c>
      <c r="H366" s="158" t="s">
        <v>1455</v>
      </c>
      <c r="I366" s="159"/>
      <c r="J366" s="160"/>
      <c r="K366" s="156"/>
      <c r="L366" s="156"/>
      <c r="M366" s="171" t="s">
        <v>40</v>
      </c>
      <c r="N366" s="162" t="s">
        <v>1456</v>
      </c>
      <c r="O366" s="163"/>
      <c r="P366" s="164" t="s">
        <v>54</v>
      </c>
      <c r="Q366" s="165" t="s">
        <v>292</v>
      </c>
      <c r="R366" s="165" t="s">
        <v>1457</v>
      </c>
      <c r="S366" s="151"/>
    </row>
    <row r="367" spans="1:19" ht="18" hidden="1" customHeight="1" x14ac:dyDescent="0.3">
      <c r="A367" s="76">
        <v>366</v>
      </c>
      <c r="B367" s="166" t="s">
        <v>250</v>
      </c>
      <c r="C367" s="167" t="s">
        <v>3</v>
      </c>
      <c r="D367" s="179" t="s">
        <v>154</v>
      </c>
      <c r="E367" s="80" t="s">
        <v>14</v>
      </c>
      <c r="F367" s="81"/>
      <c r="G367" s="82" t="s">
        <v>1458</v>
      </c>
      <c r="H367" s="83" t="s">
        <v>1459</v>
      </c>
      <c r="I367" s="84"/>
      <c r="J367" s="85"/>
      <c r="K367" s="81"/>
      <c r="L367" s="81"/>
      <c r="M367" s="86" t="s">
        <v>40</v>
      </c>
      <c r="N367" s="87"/>
      <c r="O367" s="78"/>
      <c r="P367" s="88" t="s">
        <v>1460</v>
      </c>
      <c r="Q367" s="89" t="s">
        <v>345</v>
      </c>
      <c r="R367" s="89" t="s">
        <v>1461</v>
      </c>
      <c r="S367" s="76"/>
    </row>
    <row r="368" spans="1:19" ht="18" hidden="1" customHeight="1" x14ac:dyDescent="0.3">
      <c r="A368" s="151">
        <v>367</v>
      </c>
      <c r="B368" s="152" t="s">
        <v>250</v>
      </c>
      <c r="C368" s="153" t="s">
        <v>3</v>
      </c>
      <c r="D368" s="178" t="s">
        <v>154</v>
      </c>
      <c r="E368" s="155" t="s">
        <v>14</v>
      </c>
      <c r="F368" s="156"/>
      <c r="G368" s="157" t="s">
        <v>1462</v>
      </c>
      <c r="H368" s="158" t="s">
        <v>1463</v>
      </c>
      <c r="I368" s="159"/>
      <c r="J368" s="160"/>
      <c r="K368" s="156"/>
      <c r="L368" s="156"/>
      <c r="M368" s="171" t="s">
        <v>40</v>
      </c>
      <c r="N368" s="162"/>
      <c r="O368" s="163"/>
      <c r="P368" s="164" t="s">
        <v>54</v>
      </c>
      <c r="Q368" s="165" t="s">
        <v>298</v>
      </c>
      <c r="R368" s="165" t="s">
        <v>1464</v>
      </c>
      <c r="S368" s="151"/>
    </row>
    <row r="369" spans="1:19" ht="18" hidden="1" customHeight="1" x14ac:dyDescent="0.3">
      <c r="A369" s="76">
        <v>368</v>
      </c>
      <c r="B369" s="166" t="s">
        <v>250</v>
      </c>
      <c r="C369" s="167" t="s">
        <v>3</v>
      </c>
      <c r="D369" s="179" t="s">
        <v>154</v>
      </c>
      <c r="E369" s="80" t="s">
        <v>14</v>
      </c>
      <c r="F369" s="81"/>
      <c r="G369" s="82" t="s">
        <v>1465</v>
      </c>
      <c r="H369" s="83" t="s">
        <v>1466</v>
      </c>
      <c r="I369" s="84"/>
      <c r="J369" s="85"/>
      <c r="K369" s="81"/>
      <c r="L369" s="81"/>
      <c r="M369" s="86" t="s">
        <v>40</v>
      </c>
      <c r="N369" s="87"/>
      <c r="O369" s="78"/>
      <c r="P369" s="88" t="s">
        <v>1163</v>
      </c>
      <c r="Q369" s="89" t="s">
        <v>298</v>
      </c>
      <c r="R369" s="89"/>
      <c r="S369" s="76"/>
    </row>
    <row r="370" spans="1:19" ht="18" hidden="1" customHeight="1" x14ac:dyDescent="0.3">
      <c r="A370" s="151">
        <v>369</v>
      </c>
      <c r="B370" s="152" t="s">
        <v>250</v>
      </c>
      <c r="C370" s="153" t="s">
        <v>3</v>
      </c>
      <c r="D370" s="178" t="s">
        <v>154</v>
      </c>
      <c r="E370" s="155" t="s">
        <v>14</v>
      </c>
      <c r="F370" s="156"/>
      <c r="G370" s="157" t="s">
        <v>1467</v>
      </c>
      <c r="H370" s="158" t="s">
        <v>1468</v>
      </c>
      <c r="I370" s="159"/>
      <c r="J370" s="160"/>
      <c r="K370" s="156"/>
      <c r="L370" s="156"/>
      <c r="M370" s="171" t="s">
        <v>40</v>
      </c>
      <c r="N370" s="162"/>
      <c r="O370" s="163"/>
      <c r="P370" s="164" t="s">
        <v>1469</v>
      </c>
      <c r="Q370" s="165" t="s">
        <v>298</v>
      </c>
      <c r="R370" s="165" t="s">
        <v>1470</v>
      </c>
      <c r="S370" s="151"/>
    </row>
    <row r="371" spans="1:19" ht="18" hidden="1" customHeight="1" x14ac:dyDescent="0.3">
      <c r="A371" s="76">
        <v>370</v>
      </c>
      <c r="B371" s="166" t="s">
        <v>250</v>
      </c>
      <c r="C371" s="167" t="s">
        <v>3</v>
      </c>
      <c r="D371" s="179" t="s">
        <v>154</v>
      </c>
      <c r="E371" s="80" t="s">
        <v>14</v>
      </c>
      <c r="F371" s="81"/>
      <c r="G371" s="82" t="s">
        <v>1471</v>
      </c>
      <c r="H371" s="83" t="s">
        <v>1472</v>
      </c>
      <c r="I371" s="84"/>
      <c r="J371" s="85"/>
      <c r="K371" s="81"/>
      <c r="L371" s="81"/>
      <c r="M371" s="86" t="s">
        <v>40</v>
      </c>
      <c r="N371" s="87"/>
      <c r="O371" s="78"/>
      <c r="P371" s="88" t="s">
        <v>340</v>
      </c>
      <c r="Q371" s="89" t="s">
        <v>298</v>
      </c>
      <c r="R371" s="89" t="s">
        <v>1473</v>
      </c>
      <c r="S371" s="76"/>
    </row>
    <row r="372" spans="1:19" ht="18" hidden="1" customHeight="1" x14ac:dyDescent="0.3">
      <c r="A372" s="151">
        <v>371</v>
      </c>
      <c r="B372" s="152" t="s">
        <v>250</v>
      </c>
      <c r="C372" s="153" t="s">
        <v>3</v>
      </c>
      <c r="D372" s="178" t="s">
        <v>154</v>
      </c>
      <c r="E372" s="155" t="s">
        <v>14</v>
      </c>
      <c r="F372" s="156"/>
      <c r="G372" s="157" t="s">
        <v>1474</v>
      </c>
      <c r="H372" s="158" t="s">
        <v>1475</v>
      </c>
      <c r="I372" s="159"/>
      <c r="J372" s="160"/>
      <c r="K372" s="156"/>
      <c r="L372" s="156"/>
      <c r="M372" s="171" t="s">
        <v>40</v>
      </c>
      <c r="N372" s="162"/>
      <c r="O372" s="163"/>
      <c r="P372" s="164" t="s">
        <v>1144</v>
      </c>
      <c r="Q372" s="165" t="s">
        <v>298</v>
      </c>
      <c r="R372" s="165" t="s">
        <v>1476</v>
      </c>
      <c r="S372" s="151"/>
    </row>
    <row r="373" spans="1:19" ht="18" hidden="1" customHeight="1" x14ac:dyDescent="0.3">
      <c r="A373" s="76">
        <v>372</v>
      </c>
      <c r="B373" s="166" t="s">
        <v>250</v>
      </c>
      <c r="C373" s="167" t="s">
        <v>3</v>
      </c>
      <c r="D373" s="179" t="s">
        <v>154</v>
      </c>
      <c r="E373" s="80" t="s">
        <v>14</v>
      </c>
      <c r="F373" s="81"/>
      <c r="G373" s="82" t="s">
        <v>1477</v>
      </c>
      <c r="H373" s="83" t="s">
        <v>1478</v>
      </c>
      <c r="I373" s="84"/>
      <c r="J373" s="85"/>
      <c r="K373" s="81"/>
      <c r="L373" s="81"/>
      <c r="M373" s="86" t="s">
        <v>40</v>
      </c>
      <c r="N373" s="87"/>
      <c r="O373" s="78"/>
      <c r="P373" s="88" t="s">
        <v>54</v>
      </c>
      <c r="Q373" s="89" t="s">
        <v>298</v>
      </c>
      <c r="R373" s="89" t="s">
        <v>1479</v>
      </c>
      <c r="S373" s="76"/>
    </row>
    <row r="374" spans="1:19" ht="18" hidden="1" customHeight="1" x14ac:dyDescent="0.3">
      <c r="A374" s="151">
        <v>373</v>
      </c>
      <c r="B374" s="152" t="s">
        <v>250</v>
      </c>
      <c r="C374" s="153" t="s">
        <v>3</v>
      </c>
      <c r="D374" s="178" t="s">
        <v>154</v>
      </c>
      <c r="E374" s="155" t="s">
        <v>14</v>
      </c>
      <c r="F374" s="156"/>
      <c r="G374" s="157" t="s">
        <v>1480</v>
      </c>
      <c r="H374" s="158" t="s">
        <v>1481</v>
      </c>
      <c r="I374" s="159"/>
      <c r="J374" s="160"/>
      <c r="K374" s="156"/>
      <c r="L374" s="156"/>
      <c r="M374" s="171" t="s">
        <v>40</v>
      </c>
      <c r="N374" s="162"/>
      <c r="O374" s="163"/>
      <c r="P374" s="164" t="s">
        <v>538</v>
      </c>
      <c r="Q374" s="165" t="s">
        <v>298</v>
      </c>
      <c r="R374" s="165"/>
      <c r="S374" s="151"/>
    </row>
    <row r="375" spans="1:19" ht="18" hidden="1" customHeight="1" x14ac:dyDescent="0.3">
      <c r="A375" s="76">
        <v>374</v>
      </c>
      <c r="B375" s="166" t="s">
        <v>250</v>
      </c>
      <c r="C375" s="167" t="s">
        <v>3</v>
      </c>
      <c r="D375" s="179" t="s">
        <v>154</v>
      </c>
      <c r="E375" s="80" t="s">
        <v>14</v>
      </c>
      <c r="F375" s="81"/>
      <c r="G375" s="82" t="s">
        <v>1482</v>
      </c>
      <c r="H375" s="83" t="s">
        <v>1483</v>
      </c>
      <c r="I375" s="84"/>
      <c r="J375" s="85"/>
      <c r="K375" s="81"/>
      <c r="L375" s="81"/>
      <c r="M375" s="86" t="s">
        <v>40</v>
      </c>
      <c r="N375" s="87"/>
      <c r="O375" s="78"/>
      <c r="P375" s="88" t="s">
        <v>640</v>
      </c>
      <c r="Q375" s="89" t="s">
        <v>298</v>
      </c>
      <c r="R375" s="89" t="s">
        <v>1484</v>
      </c>
      <c r="S375" s="76"/>
    </row>
    <row r="376" spans="1:19" ht="18" hidden="1" customHeight="1" x14ac:dyDescent="0.3">
      <c r="A376" s="151">
        <v>375</v>
      </c>
      <c r="B376" s="152" t="s">
        <v>250</v>
      </c>
      <c r="C376" s="153" t="s">
        <v>3</v>
      </c>
      <c r="D376" s="178" t="s">
        <v>154</v>
      </c>
      <c r="E376" s="155" t="s">
        <v>14</v>
      </c>
      <c r="F376" s="156"/>
      <c r="G376" s="157" t="s">
        <v>1485</v>
      </c>
      <c r="H376" s="158" t="s">
        <v>1486</v>
      </c>
      <c r="I376" s="159"/>
      <c r="J376" s="160"/>
      <c r="K376" s="156"/>
      <c r="L376" s="156"/>
      <c r="M376" s="171" t="s">
        <v>40</v>
      </c>
      <c r="N376" s="162"/>
      <c r="O376" s="163"/>
      <c r="P376" s="164" t="s">
        <v>1487</v>
      </c>
      <c r="Q376" s="165" t="s">
        <v>298</v>
      </c>
      <c r="R376" s="165" t="s">
        <v>1488</v>
      </c>
      <c r="S376" s="151"/>
    </row>
    <row r="377" spans="1:19" ht="18" hidden="1" customHeight="1" x14ac:dyDescent="0.3">
      <c r="A377" s="76">
        <v>376</v>
      </c>
      <c r="B377" s="166" t="s">
        <v>250</v>
      </c>
      <c r="C377" s="167" t="s">
        <v>3</v>
      </c>
      <c r="D377" s="179" t="s">
        <v>154</v>
      </c>
      <c r="E377" s="80" t="s">
        <v>13</v>
      </c>
      <c r="F377" s="173" t="s">
        <v>1489</v>
      </c>
      <c r="G377" s="82" t="s">
        <v>1490</v>
      </c>
      <c r="H377" s="83" t="s">
        <v>1491</v>
      </c>
      <c r="I377" s="84" t="s">
        <v>1492</v>
      </c>
      <c r="J377" s="85" t="s">
        <v>186</v>
      </c>
      <c r="K377" s="81"/>
      <c r="L377" s="81"/>
      <c r="M377" s="86" t="s">
        <v>40</v>
      </c>
      <c r="N377" s="87" t="s">
        <v>1493</v>
      </c>
      <c r="O377" s="78"/>
      <c r="P377" s="88"/>
      <c r="Q377" s="89"/>
      <c r="R377" s="89" t="s">
        <v>1494</v>
      </c>
      <c r="S377" s="76" t="s">
        <v>68</v>
      </c>
    </row>
    <row r="378" spans="1:19" ht="18" hidden="1" customHeight="1" x14ac:dyDescent="0.3">
      <c r="A378" s="151">
        <v>377</v>
      </c>
      <c r="B378" s="152" t="s">
        <v>250</v>
      </c>
      <c r="C378" s="153" t="s">
        <v>3</v>
      </c>
      <c r="D378" s="178" t="s">
        <v>154</v>
      </c>
      <c r="E378" s="155" t="s">
        <v>13</v>
      </c>
      <c r="F378" s="180" t="s">
        <v>86</v>
      </c>
      <c r="G378" s="157" t="s">
        <v>1495</v>
      </c>
      <c r="H378" s="158" t="s">
        <v>267</v>
      </c>
      <c r="I378" s="159" t="s">
        <v>767</v>
      </c>
      <c r="J378" s="160" t="s">
        <v>186</v>
      </c>
      <c r="K378" s="156"/>
      <c r="L378" s="156"/>
      <c r="M378" s="171" t="s">
        <v>40</v>
      </c>
      <c r="N378" s="162" t="s">
        <v>1496</v>
      </c>
      <c r="O378" s="163"/>
      <c r="P378" s="164" t="s">
        <v>73</v>
      </c>
      <c r="Q378" s="165" t="s">
        <v>90</v>
      </c>
      <c r="R378" s="165" t="s">
        <v>1497</v>
      </c>
      <c r="S378" s="151" t="s">
        <v>68</v>
      </c>
    </row>
    <row r="379" spans="1:19" ht="18" hidden="1" customHeight="1" x14ac:dyDescent="0.3">
      <c r="A379" s="76">
        <v>378</v>
      </c>
      <c r="B379" s="166" t="s">
        <v>250</v>
      </c>
      <c r="C379" s="167" t="s">
        <v>3</v>
      </c>
      <c r="D379" s="179" t="s">
        <v>154</v>
      </c>
      <c r="E379" s="80" t="s">
        <v>13</v>
      </c>
      <c r="F379" s="173" t="s">
        <v>48</v>
      </c>
      <c r="G379" s="82" t="s">
        <v>1498</v>
      </c>
      <c r="H379" s="83" t="s">
        <v>1499</v>
      </c>
      <c r="I379" s="84" t="s">
        <v>1500</v>
      </c>
      <c r="J379" s="85"/>
      <c r="K379" s="81"/>
      <c r="L379" s="81"/>
      <c r="M379" s="169"/>
      <c r="N379" s="87"/>
      <c r="O379" s="78"/>
      <c r="P379" s="88" t="s">
        <v>73</v>
      </c>
      <c r="Q379" s="89"/>
      <c r="R379" s="89" t="s">
        <v>1501</v>
      </c>
      <c r="S379" s="76" t="s">
        <v>68</v>
      </c>
    </row>
    <row r="380" spans="1:19" ht="18" hidden="1" customHeight="1" x14ac:dyDescent="0.3">
      <c r="A380" s="151">
        <v>379</v>
      </c>
      <c r="B380" s="152" t="s">
        <v>250</v>
      </c>
      <c r="C380" s="153" t="s">
        <v>3</v>
      </c>
      <c r="D380" s="178" t="s">
        <v>154</v>
      </c>
      <c r="E380" s="155" t="s">
        <v>13</v>
      </c>
      <c r="F380" s="180" t="s">
        <v>80</v>
      </c>
      <c r="G380" s="157" t="s">
        <v>1502</v>
      </c>
      <c r="H380" s="158" t="s">
        <v>1503</v>
      </c>
      <c r="I380" s="159" t="s">
        <v>1504</v>
      </c>
      <c r="J380" s="160"/>
      <c r="K380" s="156"/>
      <c r="L380" s="156"/>
      <c r="M380" s="161"/>
      <c r="N380" s="162"/>
      <c r="O380" s="163"/>
      <c r="P380" s="164" t="s">
        <v>73</v>
      </c>
      <c r="Q380" s="165"/>
      <c r="R380" s="165" t="s">
        <v>1505</v>
      </c>
      <c r="S380" s="151" t="s">
        <v>68</v>
      </c>
    </row>
    <row r="381" spans="1:19" ht="18" hidden="1" customHeight="1" x14ac:dyDescent="0.3">
      <c r="A381" s="76">
        <v>380</v>
      </c>
      <c r="B381" s="166" t="s">
        <v>250</v>
      </c>
      <c r="C381" s="167" t="s">
        <v>3</v>
      </c>
      <c r="D381" s="179" t="s">
        <v>154</v>
      </c>
      <c r="E381" s="80" t="s">
        <v>13</v>
      </c>
      <c r="F381" s="81"/>
      <c r="G381" s="82" t="s">
        <v>1506</v>
      </c>
      <c r="H381" s="83" t="s">
        <v>1507</v>
      </c>
      <c r="I381" s="84" t="s">
        <v>1508</v>
      </c>
      <c r="J381" s="85" t="s">
        <v>186</v>
      </c>
      <c r="K381" s="81"/>
      <c r="L381" s="81"/>
      <c r="M381" s="169"/>
      <c r="N381" s="87"/>
      <c r="O381" s="78" t="s">
        <v>53</v>
      </c>
      <c r="P381" s="88" t="s">
        <v>73</v>
      </c>
      <c r="Q381" s="89" t="s">
        <v>1509</v>
      </c>
      <c r="R381" s="89" t="s">
        <v>1510</v>
      </c>
      <c r="S381" s="76" t="s">
        <v>1511</v>
      </c>
    </row>
    <row r="382" spans="1:19" ht="18" hidden="1" customHeight="1" x14ac:dyDescent="0.3">
      <c r="A382" s="151">
        <v>381</v>
      </c>
      <c r="B382" s="152" t="s">
        <v>250</v>
      </c>
      <c r="C382" s="153" t="s">
        <v>3</v>
      </c>
      <c r="D382" s="178" t="s">
        <v>154</v>
      </c>
      <c r="E382" s="155" t="s">
        <v>14</v>
      </c>
      <c r="F382" s="180" t="s">
        <v>1512</v>
      </c>
      <c r="G382" s="157" t="s">
        <v>1513</v>
      </c>
      <c r="H382" s="158" t="s">
        <v>1514</v>
      </c>
      <c r="I382" s="159" t="s">
        <v>1515</v>
      </c>
      <c r="J382" s="160"/>
      <c r="K382" s="156"/>
      <c r="L382" s="156"/>
      <c r="M382" s="171" t="s">
        <v>40</v>
      </c>
      <c r="N382" s="162" t="s">
        <v>1516</v>
      </c>
      <c r="O382" s="163"/>
      <c r="P382" s="164" t="s">
        <v>73</v>
      </c>
      <c r="Q382" s="165" t="s">
        <v>90</v>
      </c>
      <c r="R382" s="165" t="s">
        <v>1517</v>
      </c>
      <c r="S382" s="151" t="s">
        <v>68</v>
      </c>
    </row>
    <row r="383" spans="1:19" ht="18" hidden="1" customHeight="1" x14ac:dyDescent="0.3">
      <c r="A383" s="76">
        <v>382</v>
      </c>
      <c r="B383" s="166" t="s">
        <v>250</v>
      </c>
      <c r="C383" s="167" t="s">
        <v>3</v>
      </c>
      <c r="D383" s="179" t="s">
        <v>154</v>
      </c>
      <c r="E383" s="80" t="s">
        <v>14</v>
      </c>
      <c r="F383" s="173" t="s">
        <v>115</v>
      </c>
      <c r="G383" s="82" t="s">
        <v>1518</v>
      </c>
      <c r="H383" s="83" t="s">
        <v>129</v>
      </c>
      <c r="I383" s="84" t="s">
        <v>1519</v>
      </c>
      <c r="J383" s="85"/>
      <c r="K383" s="81"/>
      <c r="L383" s="81"/>
      <c r="M383" s="169"/>
      <c r="N383" s="87"/>
      <c r="O383" s="78"/>
      <c r="P383" s="88" t="s">
        <v>73</v>
      </c>
      <c r="Q383" s="89"/>
      <c r="R383" s="89" t="s">
        <v>1520</v>
      </c>
      <c r="S383" s="76" t="s">
        <v>68</v>
      </c>
    </row>
    <row r="384" spans="1:19" ht="18" hidden="1" customHeight="1" x14ac:dyDescent="0.3">
      <c r="A384" s="151">
        <v>383</v>
      </c>
      <c r="B384" s="152" t="s">
        <v>250</v>
      </c>
      <c r="C384" s="153" t="s">
        <v>3</v>
      </c>
      <c r="D384" s="178" t="s">
        <v>154</v>
      </c>
      <c r="E384" s="155" t="s">
        <v>14</v>
      </c>
      <c r="F384" s="180" t="s">
        <v>86</v>
      </c>
      <c r="G384" s="157" t="s">
        <v>1521</v>
      </c>
      <c r="H384" s="158" t="s">
        <v>1522</v>
      </c>
      <c r="I384" s="159" t="s">
        <v>924</v>
      </c>
      <c r="J384" s="160"/>
      <c r="K384" s="156"/>
      <c r="L384" s="156"/>
      <c r="M384" s="171" t="s">
        <v>40</v>
      </c>
      <c r="N384" s="162" t="s">
        <v>1523</v>
      </c>
      <c r="O384" s="163"/>
      <c r="P384" s="164" t="s">
        <v>73</v>
      </c>
      <c r="Q384" s="165" t="s">
        <v>90</v>
      </c>
      <c r="R384" s="165" t="s">
        <v>1524</v>
      </c>
      <c r="S384" s="151" t="s">
        <v>68</v>
      </c>
    </row>
    <row r="385" spans="1:19" ht="18" hidden="1" customHeight="1" x14ac:dyDescent="0.3">
      <c r="A385" s="181">
        <v>384</v>
      </c>
      <c r="B385" s="182" t="s">
        <v>250</v>
      </c>
      <c r="C385" s="183" t="s">
        <v>3</v>
      </c>
      <c r="D385" s="184" t="s">
        <v>154</v>
      </c>
      <c r="E385" s="185" t="s">
        <v>14</v>
      </c>
      <c r="F385" s="186"/>
      <c r="G385" s="187" t="s">
        <v>1525</v>
      </c>
      <c r="H385" s="188" t="s">
        <v>604</v>
      </c>
      <c r="I385" s="189"/>
      <c r="J385" s="190" t="s">
        <v>186</v>
      </c>
      <c r="K385" s="186"/>
      <c r="L385" s="186"/>
      <c r="M385" s="191" t="s">
        <v>40</v>
      </c>
      <c r="N385" s="192"/>
      <c r="O385" s="193"/>
      <c r="P385" s="194" t="s">
        <v>73</v>
      </c>
      <c r="Q385" s="195" t="s">
        <v>816</v>
      </c>
      <c r="R385" s="195" t="s">
        <v>1526</v>
      </c>
      <c r="S385" s="181" t="s">
        <v>1527</v>
      </c>
    </row>
    <row r="386" spans="1:19" ht="18" hidden="1" customHeight="1" x14ac:dyDescent="0.3">
      <c r="A386" s="151">
        <v>385</v>
      </c>
      <c r="B386" s="152" t="s">
        <v>250</v>
      </c>
      <c r="C386" s="153" t="s">
        <v>3</v>
      </c>
      <c r="D386" s="178" t="s">
        <v>154</v>
      </c>
      <c r="E386" s="155" t="s">
        <v>14</v>
      </c>
      <c r="F386" s="156"/>
      <c r="G386" s="157" t="s">
        <v>1528</v>
      </c>
      <c r="H386" s="158" t="s">
        <v>1529</v>
      </c>
      <c r="I386" s="159" t="s">
        <v>1530</v>
      </c>
      <c r="J386" s="160"/>
      <c r="K386" s="156"/>
      <c r="L386" s="156"/>
      <c r="M386" s="171" t="s">
        <v>40</v>
      </c>
      <c r="N386" s="162"/>
      <c r="O386" s="163"/>
      <c r="P386" s="164" t="s">
        <v>1531</v>
      </c>
      <c r="Q386" s="165" t="s">
        <v>699</v>
      </c>
      <c r="R386" s="165" t="s">
        <v>1532</v>
      </c>
      <c r="S386" s="151" t="s">
        <v>701</v>
      </c>
    </row>
    <row r="387" spans="1:19" ht="18" hidden="1" customHeight="1" x14ac:dyDescent="0.3">
      <c r="A387" s="76">
        <v>386</v>
      </c>
      <c r="B387" s="166" t="s">
        <v>250</v>
      </c>
      <c r="C387" s="167" t="s">
        <v>3</v>
      </c>
      <c r="D387" s="179" t="s">
        <v>154</v>
      </c>
      <c r="E387" s="80" t="s">
        <v>16</v>
      </c>
      <c r="F387" s="173" t="s">
        <v>48</v>
      </c>
      <c r="G387" s="82" t="s">
        <v>1533</v>
      </c>
      <c r="H387" s="83" t="s">
        <v>1534</v>
      </c>
      <c r="I387" s="84" t="s">
        <v>1535</v>
      </c>
      <c r="J387" s="85"/>
      <c r="K387" s="81"/>
      <c r="L387" s="81"/>
      <c r="M387" s="86" t="s">
        <v>40</v>
      </c>
      <c r="N387" s="87" t="s">
        <v>108</v>
      </c>
      <c r="O387" s="78"/>
      <c r="P387" s="88"/>
      <c r="Q387" s="89"/>
      <c r="R387" s="89" t="s">
        <v>1536</v>
      </c>
      <c r="S387" s="76" t="s">
        <v>68</v>
      </c>
    </row>
    <row r="388" spans="1:19" ht="18" hidden="1" customHeight="1" x14ac:dyDescent="0.3">
      <c r="A388" s="151">
        <v>387</v>
      </c>
      <c r="B388" s="152" t="s">
        <v>250</v>
      </c>
      <c r="C388" s="153" t="s">
        <v>3</v>
      </c>
      <c r="D388" s="178" t="s">
        <v>154</v>
      </c>
      <c r="E388" s="155" t="s">
        <v>17</v>
      </c>
      <c r="F388" s="180" t="s">
        <v>86</v>
      </c>
      <c r="G388" s="157" t="s">
        <v>1537</v>
      </c>
      <c r="H388" s="158" t="s">
        <v>1538</v>
      </c>
      <c r="I388" s="159" t="s">
        <v>1539</v>
      </c>
      <c r="J388" s="160"/>
      <c r="K388" s="156"/>
      <c r="L388" s="156"/>
      <c r="M388" s="171" t="s">
        <v>40</v>
      </c>
      <c r="N388" s="162" t="s">
        <v>1516</v>
      </c>
      <c r="O388" s="163"/>
      <c r="P388" s="164" t="s">
        <v>73</v>
      </c>
      <c r="Q388" s="165" t="s">
        <v>90</v>
      </c>
      <c r="R388" s="165" t="s">
        <v>1540</v>
      </c>
      <c r="S388" s="151" t="s">
        <v>68</v>
      </c>
    </row>
    <row r="389" spans="1:19" ht="18" hidden="1" customHeight="1" x14ac:dyDescent="0.3">
      <c r="A389" s="76">
        <v>388</v>
      </c>
      <c r="B389" s="166" t="s">
        <v>250</v>
      </c>
      <c r="C389" s="167" t="s">
        <v>3</v>
      </c>
      <c r="D389" s="179" t="s">
        <v>154</v>
      </c>
      <c r="E389" s="80" t="s">
        <v>1541</v>
      </c>
      <c r="F389" s="173" t="s">
        <v>1542</v>
      </c>
      <c r="G389" s="82" t="s">
        <v>1543</v>
      </c>
      <c r="H389" s="83" t="s">
        <v>1544</v>
      </c>
      <c r="I389" s="84" t="s">
        <v>1545</v>
      </c>
      <c r="J389" s="85"/>
      <c r="K389" s="81"/>
      <c r="L389" s="81"/>
      <c r="M389" s="86" t="s">
        <v>40</v>
      </c>
      <c r="N389" s="87" t="s">
        <v>1546</v>
      </c>
      <c r="O389" s="78"/>
      <c r="P389" s="88" t="s">
        <v>73</v>
      </c>
      <c r="Q389" s="89" t="s">
        <v>719</v>
      </c>
      <c r="R389" s="89" t="s">
        <v>1547</v>
      </c>
      <c r="S389" s="76" t="s">
        <v>68</v>
      </c>
    </row>
    <row r="390" spans="1:19" ht="18" hidden="1" customHeight="1" x14ac:dyDescent="0.3">
      <c r="A390" s="151">
        <v>389</v>
      </c>
      <c r="B390" s="152" t="s">
        <v>250</v>
      </c>
      <c r="C390" s="153" t="s">
        <v>3</v>
      </c>
      <c r="D390" s="178" t="s">
        <v>154</v>
      </c>
      <c r="E390" s="155" t="s">
        <v>14</v>
      </c>
      <c r="F390" s="156"/>
      <c r="G390" s="157" t="s">
        <v>1548</v>
      </c>
      <c r="H390" s="158" t="s">
        <v>1549</v>
      </c>
      <c r="I390" s="159" t="s">
        <v>1550</v>
      </c>
      <c r="J390" s="160"/>
      <c r="K390" s="156"/>
      <c r="L390" s="156"/>
      <c r="M390" s="161" t="s">
        <v>257</v>
      </c>
      <c r="N390" s="162"/>
      <c r="O390" s="163"/>
      <c r="P390" s="164" t="s">
        <v>73</v>
      </c>
      <c r="Q390" s="165"/>
      <c r="R390" s="165" t="s">
        <v>1551</v>
      </c>
      <c r="S390" s="151"/>
    </row>
    <row r="391" spans="1:19" ht="18" hidden="1" customHeight="1" x14ac:dyDescent="0.3">
      <c r="A391" s="76">
        <v>390</v>
      </c>
      <c r="B391" s="166" t="s">
        <v>250</v>
      </c>
      <c r="C391" s="175" t="s">
        <v>4</v>
      </c>
      <c r="D391" s="179" t="s">
        <v>154</v>
      </c>
      <c r="E391" s="80" t="s">
        <v>13</v>
      </c>
      <c r="F391" s="81"/>
      <c r="G391" s="82" t="s">
        <v>1552</v>
      </c>
      <c r="H391" s="83" t="s">
        <v>1553</v>
      </c>
      <c r="I391" s="84"/>
      <c r="J391" s="85"/>
      <c r="K391" s="81"/>
      <c r="L391" s="81"/>
      <c r="M391" s="161" t="s">
        <v>257</v>
      </c>
      <c r="N391" s="87"/>
      <c r="O391" s="78" t="s">
        <v>354</v>
      </c>
      <c r="P391" s="88" t="s">
        <v>54</v>
      </c>
      <c r="Q391" s="89" t="s">
        <v>355</v>
      </c>
      <c r="R391" s="89" t="s">
        <v>1554</v>
      </c>
      <c r="S391" s="76"/>
    </row>
    <row r="392" spans="1:19" ht="18" hidden="1" customHeight="1" x14ac:dyDescent="0.3">
      <c r="A392" s="151">
        <v>391</v>
      </c>
      <c r="B392" s="152" t="s">
        <v>250</v>
      </c>
      <c r="C392" s="174" t="s">
        <v>4</v>
      </c>
      <c r="D392" s="178" t="s">
        <v>154</v>
      </c>
      <c r="E392" s="155" t="s">
        <v>13</v>
      </c>
      <c r="F392" s="156"/>
      <c r="G392" s="157" t="s">
        <v>1555</v>
      </c>
      <c r="H392" s="158" t="s">
        <v>693</v>
      </c>
      <c r="I392" s="159"/>
      <c r="J392" s="160"/>
      <c r="K392" s="156"/>
      <c r="L392" s="156"/>
      <c r="M392" s="161" t="s">
        <v>257</v>
      </c>
      <c r="N392" s="162"/>
      <c r="O392" s="163" t="s">
        <v>354</v>
      </c>
      <c r="P392" s="164" t="s">
        <v>54</v>
      </c>
      <c r="Q392" s="165" t="s">
        <v>254</v>
      </c>
      <c r="R392" s="165" t="s">
        <v>1556</v>
      </c>
      <c r="S392" s="151"/>
    </row>
    <row r="393" spans="1:19" ht="18" hidden="1" customHeight="1" x14ac:dyDescent="0.3">
      <c r="A393" s="76">
        <v>392</v>
      </c>
      <c r="B393" s="166" t="s">
        <v>250</v>
      </c>
      <c r="C393" s="175" t="s">
        <v>4</v>
      </c>
      <c r="D393" s="179" t="s">
        <v>154</v>
      </c>
      <c r="E393" s="80" t="s">
        <v>13</v>
      </c>
      <c r="F393" s="81"/>
      <c r="G393" s="82" t="s">
        <v>1557</v>
      </c>
      <c r="H393" s="83" t="s">
        <v>1558</v>
      </c>
      <c r="I393" s="84"/>
      <c r="J393" s="85"/>
      <c r="K393" s="81"/>
      <c r="L393" s="81"/>
      <c r="M393" s="161" t="s">
        <v>257</v>
      </c>
      <c r="N393" s="87"/>
      <c r="O393" s="78" t="s">
        <v>354</v>
      </c>
      <c r="P393" s="88" t="s">
        <v>54</v>
      </c>
      <c r="Q393" s="89" t="s">
        <v>264</v>
      </c>
      <c r="R393" s="89" t="s">
        <v>1559</v>
      </c>
      <c r="S393" s="76"/>
    </row>
    <row r="394" spans="1:19" ht="18" hidden="1" customHeight="1" x14ac:dyDescent="0.3">
      <c r="A394" s="151">
        <v>393</v>
      </c>
      <c r="B394" s="152" t="s">
        <v>250</v>
      </c>
      <c r="C394" s="174" t="s">
        <v>4</v>
      </c>
      <c r="D394" s="178" t="s">
        <v>154</v>
      </c>
      <c r="E394" s="155" t="s">
        <v>13</v>
      </c>
      <c r="F394" s="156"/>
      <c r="G394" s="157" t="s">
        <v>1560</v>
      </c>
      <c r="H394" s="158" t="s">
        <v>1561</v>
      </c>
      <c r="I394" s="159"/>
      <c r="J394" s="160" t="s">
        <v>186</v>
      </c>
      <c r="K394" s="156"/>
      <c r="L394" s="156"/>
      <c r="M394" s="161" t="s">
        <v>257</v>
      </c>
      <c r="N394" s="162"/>
      <c r="O394" s="163" t="s">
        <v>354</v>
      </c>
      <c r="P394" s="164" t="s">
        <v>54</v>
      </c>
      <c r="Q394" s="165" t="s">
        <v>264</v>
      </c>
      <c r="R394" s="165" t="s">
        <v>1562</v>
      </c>
      <c r="S394" s="151"/>
    </row>
    <row r="395" spans="1:19" ht="18" hidden="1" customHeight="1" x14ac:dyDescent="0.3">
      <c r="A395" s="76">
        <v>394</v>
      </c>
      <c r="B395" s="166" t="s">
        <v>250</v>
      </c>
      <c r="C395" s="175" t="s">
        <v>4</v>
      </c>
      <c r="D395" s="179" t="s">
        <v>154</v>
      </c>
      <c r="E395" s="80" t="s">
        <v>13</v>
      </c>
      <c r="F395" s="81"/>
      <c r="G395" s="82" t="s">
        <v>1563</v>
      </c>
      <c r="H395" s="83" t="s">
        <v>1564</v>
      </c>
      <c r="I395" s="84"/>
      <c r="J395" s="85"/>
      <c r="K395" s="81"/>
      <c r="L395" s="81"/>
      <c r="M395" s="161" t="s">
        <v>257</v>
      </c>
      <c r="N395" s="87"/>
      <c r="O395" s="78" t="s">
        <v>354</v>
      </c>
      <c r="P395" s="88" t="s">
        <v>54</v>
      </c>
      <c r="Q395" s="89" t="s">
        <v>264</v>
      </c>
      <c r="R395" s="89" t="s">
        <v>1565</v>
      </c>
      <c r="S395" s="76"/>
    </row>
    <row r="396" spans="1:19" ht="18" hidden="1" customHeight="1" x14ac:dyDescent="0.3">
      <c r="A396" s="151">
        <v>395</v>
      </c>
      <c r="B396" s="152" t="s">
        <v>250</v>
      </c>
      <c r="C396" s="174" t="s">
        <v>4</v>
      </c>
      <c r="D396" s="178" t="s">
        <v>154</v>
      </c>
      <c r="E396" s="155" t="s">
        <v>13</v>
      </c>
      <c r="F396" s="156"/>
      <c r="G396" s="157" t="s">
        <v>1566</v>
      </c>
      <c r="H396" s="158" t="s">
        <v>1567</v>
      </c>
      <c r="I396" s="159"/>
      <c r="J396" s="160" t="s">
        <v>186</v>
      </c>
      <c r="K396" s="156"/>
      <c r="L396" s="156"/>
      <c r="M396" s="161" t="s">
        <v>257</v>
      </c>
      <c r="N396" s="162"/>
      <c r="O396" s="163" t="s">
        <v>354</v>
      </c>
      <c r="P396" s="164" t="s">
        <v>54</v>
      </c>
      <c r="Q396" s="165" t="s">
        <v>264</v>
      </c>
      <c r="R396" s="165" t="s">
        <v>1568</v>
      </c>
      <c r="S396" s="151"/>
    </row>
    <row r="397" spans="1:19" ht="18" hidden="1" customHeight="1" x14ac:dyDescent="0.3">
      <c r="A397" s="76">
        <v>396</v>
      </c>
      <c r="B397" s="166" t="s">
        <v>250</v>
      </c>
      <c r="C397" s="175" t="s">
        <v>4</v>
      </c>
      <c r="D397" s="179" t="s">
        <v>154</v>
      </c>
      <c r="E397" s="80" t="s">
        <v>13</v>
      </c>
      <c r="F397" s="81"/>
      <c r="G397" s="82" t="s">
        <v>1569</v>
      </c>
      <c r="H397" s="83" t="s">
        <v>1570</v>
      </c>
      <c r="I397" s="84"/>
      <c r="J397" s="85" t="s">
        <v>51</v>
      </c>
      <c r="K397" s="81"/>
      <c r="L397" s="81"/>
      <c r="M397" s="86" t="s">
        <v>40</v>
      </c>
      <c r="N397" s="87" t="s">
        <v>1571</v>
      </c>
      <c r="O397" s="78" t="s">
        <v>354</v>
      </c>
      <c r="P397" s="88" t="s">
        <v>54</v>
      </c>
      <c r="Q397" s="89" t="s">
        <v>254</v>
      </c>
      <c r="R397" s="89" t="s">
        <v>1572</v>
      </c>
      <c r="S397" s="76"/>
    </row>
    <row r="398" spans="1:19" ht="18" hidden="1" customHeight="1" x14ac:dyDescent="0.3">
      <c r="A398" s="151">
        <v>397</v>
      </c>
      <c r="B398" s="152" t="s">
        <v>250</v>
      </c>
      <c r="C398" s="174" t="s">
        <v>4</v>
      </c>
      <c r="D398" s="178" t="s">
        <v>154</v>
      </c>
      <c r="E398" s="155" t="s">
        <v>13</v>
      </c>
      <c r="F398" s="156"/>
      <c r="G398" s="157" t="s">
        <v>1573</v>
      </c>
      <c r="H398" s="158" t="s">
        <v>1574</v>
      </c>
      <c r="I398" s="159"/>
      <c r="J398" s="160"/>
      <c r="K398" s="156"/>
      <c r="L398" s="156"/>
      <c r="M398" s="161"/>
      <c r="N398" s="162"/>
      <c r="O398" s="163" t="s">
        <v>354</v>
      </c>
      <c r="P398" s="164" t="s">
        <v>279</v>
      </c>
      <c r="Q398" s="165" t="s">
        <v>323</v>
      </c>
      <c r="R398" s="165" t="s">
        <v>1575</v>
      </c>
      <c r="S398" s="151"/>
    </row>
    <row r="399" spans="1:19" ht="18" hidden="1" customHeight="1" x14ac:dyDescent="0.3">
      <c r="A399" s="76">
        <v>398</v>
      </c>
      <c r="B399" s="166" t="s">
        <v>250</v>
      </c>
      <c r="C399" s="175" t="s">
        <v>4</v>
      </c>
      <c r="D399" s="179" t="s">
        <v>154</v>
      </c>
      <c r="E399" s="80" t="s">
        <v>13</v>
      </c>
      <c r="F399" s="81"/>
      <c r="G399" s="82" t="s">
        <v>1576</v>
      </c>
      <c r="H399" s="83" t="s">
        <v>1577</v>
      </c>
      <c r="I399" s="84"/>
      <c r="J399" s="85"/>
      <c r="K399" s="81"/>
      <c r="L399" s="81"/>
      <c r="M399" s="169"/>
      <c r="N399" s="87"/>
      <c r="O399" s="78" t="s">
        <v>354</v>
      </c>
      <c r="P399" s="88" t="s">
        <v>54</v>
      </c>
      <c r="Q399" s="89" t="s">
        <v>264</v>
      </c>
      <c r="R399" s="89" t="s">
        <v>1578</v>
      </c>
      <c r="S399" s="76"/>
    </row>
    <row r="400" spans="1:19" ht="18" hidden="1" customHeight="1" x14ac:dyDescent="0.3">
      <c r="A400" s="151">
        <v>399</v>
      </c>
      <c r="B400" s="152" t="s">
        <v>250</v>
      </c>
      <c r="C400" s="174" t="s">
        <v>4</v>
      </c>
      <c r="D400" s="178" t="s">
        <v>154</v>
      </c>
      <c r="E400" s="155" t="s">
        <v>13</v>
      </c>
      <c r="F400" s="156"/>
      <c r="G400" s="157" t="s">
        <v>1579</v>
      </c>
      <c r="H400" s="158" t="s">
        <v>1580</v>
      </c>
      <c r="I400" s="159"/>
      <c r="J400" s="160"/>
      <c r="K400" s="156"/>
      <c r="L400" s="156"/>
      <c r="M400" s="161"/>
      <c r="N400" s="162"/>
      <c r="O400" s="163" t="s">
        <v>53</v>
      </c>
      <c r="P400" s="164" t="s">
        <v>54</v>
      </c>
      <c r="Q400" s="165" t="s">
        <v>264</v>
      </c>
      <c r="R400" s="165" t="s">
        <v>1581</v>
      </c>
      <c r="S400" s="151"/>
    </row>
    <row r="401" spans="1:26" ht="18" hidden="1" customHeight="1" x14ac:dyDescent="0.3">
      <c r="A401" s="76">
        <v>400</v>
      </c>
      <c r="B401" s="166" t="s">
        <v>250</v>
      </c>
      <c r="C401" s="175" t="s">
        <v>4</v>
      </c>
      <c r="D401" s="179" t="s">
        <v>154</v>
      </c>
      <c r="E401" s="80" t="s">
        <v>13</v>
      </c>
      <c r="F401" s="81"/>
      <c r="G401" s="82" t="s">
        <v>1582</v>
      </c>
      <c r="H401" s="83" t="s">
        <v>1583</v>
      </c>
      <c r="I401" s="84"/>
      <c r="J401" s="85" t="s">
        <v>51</v>
      </c>
      <c r="K401" s="81"/>
      <c r="L401" s="81"/>
      <c r="M401" s="86" t="s">
        <v>40</v>
      </c>
      <c r="N401" s="87" t="s">
        <v>1584</v>
      </c>
      <c r="O401" s="78" t="s">
        <v>354</v>
      </c>
      <c r="P401" s="88" t="s">
        <v>1585</v>
      </c>
      <c r="Q401" s="89" t="s">
        <v>254</v>
      </c>
      <c r="R401" s="89" t="s">
        <v>1586</v>
      </c>
      <c r="S401" s="76"/>
    </row>
    <row r="402" spans="1:26" ht="18" hidden="1" customHeight="1" x14ac:dyDescent="0.3">
      <c r="A402" s="151">
        <v>401</v>
      </c>
      <c r="B402" s="152" t="s">
        <v>250</v>
      </c>
      <c r="C402" s="174" t="s">
        <v>4</v>
      </c>
      <c r="D402" s="178" t="s">
        <v>154</v>
      </c>
      <c r="E402" s="155" t="s">
        <v>13</v>
      </c>
      <c r="F402" s="156"/>
      <c r="G402" s="157" t="s">
        <v>1587</v>
      </c>
      <c r="H402" s="158" t="s">
        <v>1588</v>
      </c>
      <c r="I402" s="159"/>
      <c r="J402" s="160" t="s">
        <v>51</v>
      </c>
      <c r="K402" s="156"/>
      <c r="L402" s="156"/>
      <c r="M402" s="171" t="s">
        <v>40</v>
      </c>
      <c r="N402" s="162" t="s">
        <v>1589</v>
      </c>
      <c r="O402" s="163" t="s">
        <v>53</v>
      </c>
      <c r="P402" s="164" t="s">
        <v>1460</v>
      </c>
      <c r="Q402" s="165" t="s">
        <v>254</v>
      </c>
      <c r="R402" s="165" t="s">
        <v>1590</v>
      </c>
      <c r="S402" s="151"/>
    </row>
    <row r="403" spans="1:26" ht="18" hidden="1" customHeight="1" x14ac:dyDescent="0.3">
      <c r="A403" s="76">
        <v>402</v>
      </c>
      <c r="B403" s="166" t="s">
        <v>250</v>
      </c>
      <c r="C403" s="175" t="s">
        <v>4</v>
      </c>
      <c r="D403" s="179" t="s">
        <v>154</v>
      </c>
      <c r="E403" s="80" t="s">
        <v>14</v>
      </c>
      <c r="F403" s="81"/>
      <c r="G403" s="82" t="s">
        <v>1591</v>
      </c>
      <c r="H403" s="83" t="s">
        <v>1592</v>
      </c>
      <c r="I403" s="84"/>
      <c r="J403" s="85"/>
      <c r="K403" s="81"/>
      <c r="L403" s="81"/>
      <c r="M403" s="86" t="s">
        <v>40</v>
      </c>
      <c r="N403" s="87" t="s">
        <v>1593</v>
      </c>
      <c r="O403" s="78"/>
      <c r="P403" s="88" t="s">
        <v>54</v>
      </c>
      <c r="Q403" s="89" t="s">
        <v>1399</v>
      </c>
      <c r="R403" s="89" t="s">
        <v>1594</v>
      </c>
      <c r="S403" s="76"/>
    </row>
    <row r="404" spans="1:26" ht="18" hidden="1" customHeight="1" x14ac:dyDescent="0.3">
      <c r="A404" s="151">
        <v>403</v>
      </c>
      <c r="B404" s="152" t="s">
        <v>250</v>
      </c>
      <c r="C404" s="174" t="s">
        <v>4</v>
      </c>
      <c r="D404" s="178" t="s">
        <v>154</v>
      </c>
      <c r="E404" s="155" t="s">
        <v>14</v>
      </c>
      <c r="F404" s="156"/>
      <c r="G404" s="157" t="s">
        <v>1595</v>
      </c>
      <c r="H404" s="158" t="s">
        <v>1596</v>
      </c>
      <c r="I404" s="159"/>
      <c r="J404" s="160"/>
      <c r="K404" s="156"/>
      <c r="L404" s="156"/>
      <c r="M404" s="171" t="s">
        <v>257</v>
      </c>
      <c r="N404" s="162"/>
      <c r="O404" s="163"/>
      <c r="P404" s="164" t="s">
        <v>474</v>
      </c>
      <c r="Q404" s="165" t="s">
        <v>292</v>
      </c>
      <c r="R404" s="165" t="s">
        <v>1597</v>
      </c>
      <c r="S404" s="151"/>
    </row>
    <row r="405" spans="1:26" ht="18" hidden="1" customHeight="1" x14ac:dyDescent="0.3">
      <c r="A405" s="76">
        <v>404</v>
      </c>
      <c r="B405" s="166" t="s">
        <v>250</v>
      </c>
      <c r="C405" s="175" t="s">
        <v>4</v>
      </c>
      <c r="D405" s="179" t="s">
        <v>154</v>
      </c>
      <c r="E405" s="80" t="s">
        <v>14</v>
      </c>
      <c r="F405" s="81"/>
      <c r="G405" s="82" t="s">
        <v>1598</v>
      </c>
      <c r="H405" s="83" t="s">
        <v>1599</v>
      </c>
      <c r="I405" s="84"/>
      <c r="J405" s="85"/>
      <c r="K405" s="81"/>
      <c r="L405" s="81"/>
      <c r="M405" s="171" t="s">
        <v>257</v>
      </c>
      <c r="N405" s="87"/>
      <c r="O405" s="78"/>
      <c r="P405" s="88" t="s">
        <v>1600</v>
      </c>
      <c r="Q405" s="89" t="s">
        <v>438</v>
      </c>
      <c r="R405" s="89" t="s">
        <v>1601</v>
      </c>
      <c r="S405" s="76"/>
    </row>
    <row r="406" spans="1:26" ht="18" hidden="1" customHeight="1" x14ac:dyDescent="0.3">
      <c r="A406" s="151">
        <v>405</v>
      </c>
      <c r="B406" s="152" t="s">
        <v>250</v>
      </c>
      <c r="C406" s="174" t="s">
        <v>4</v>
      </c>
      <c r="D406" s="178" t="s">
        <v>154</v>
      </c>
      <c r="E406" s="155" t="s">
        <v>14</v>
      </c>
      <c r="F406" s="156"/>
      <c r="G406" s="157" t="s">
        <v>1602</v>
      </c>
      <c r="H406" s="158" t="s">
        <v>1603</v>
      </c>
      <c r="I406" s="159"/>
      <c r="J406" s="160"/>
      <c r="K406" s="156"/>
      <c r="L406" s="156"/>
      <c r="M406" s="171" t="s">
        <v>257</v>
      </c>
      <c r="N406" s="162"/>
      <c r="O406" s="163"/>
      <c r="P406" s="164" t="s">
        <v>54</v>
      </c>
      <c r="Q406" s="165" t="s">
        <v>298</v>
      </c>
      <c r="R406" s="165" t="s">
        <v>1604</v>
      </c>
      <c r="S406" s="151"/>
    </row>
    <row r="407" spans="1:26" ht="18" hidden="1" customHeight="1" x14ac:dyDescent="0.3">
      <c r="A407" s="76">
        <v>406</v>
      </c>
      <c r="B407" s="166" t="s">
        <v>250</v>
      </c>
      <c r="C407" s="175" t="s">
        <v>4</v>
      </c>
      <c r="D407" s="179" t="s">
        <v>154</v>
      </c>
      <c r="E407" s="80" t="s">
        <v>14</v>
      </c>
      <c r="F407" s="81"/>
      <c r="G407" s="82" t="s">
        <v>1605</v>
      </c>
      <c r="H407" s="83" t="s">
        <v>1606</v>
      </c>
      <c r="I407" s="84"/>
      <c r="J407" s="85"/>
      <c r="K407" s="81"/>
      <c r="L407" s="81"/>
      <c r="M407" s="171" t="s">
        <v>257</v>
      </c>
      <c r="N407" s="87"/>
      <c r="O407" s="78"/>
      <c r="P407" s="88" t="s">
        <v>525</v>
      </c>
      <c r="Q407" s="89" t="s">
        <v>298</v>
      </c>
      <c r="R407" s="89" t="s">
        <v>1607</v>
      </c>
      <c r="S407" s="76"/>
    </row>
    <row r="408" spans="1:26" ht="18" hidden="1" customHeight="1" x14ac:dyDescent="0.3">
      <c r="A408" s="151">
        <v>407</v>
      </c>
      <c r="B408" s="152" t="s">
        <v>250</v>
      </c>
      <c r="C408" s="174" t="s">
        <v>4</v>
      </c>
      <c r="D408" s="178" t="s">
        <v>154</v>
      </c>
      <c r="E408" s="155" t="s">
        <v>14</v>
      </c>
      <c r="F408" s="156"/>
      <c r="G408" s="157" t="s">
        <v>1608</v>
      </c>
      <c r="H408" s="158" t="s">
        <v>1609</v>
      </c>
      <c r="I408" s="159"/>
      <c r="J408" s="160"/>
      <c r="K408" s="156"/>
      <c r="L408" s="156"/>
      <c r="M408" s="171" t="s">
        <v>257</v>
      </c>
      <c r="N408" s="162"/>
      <c r="O408" s="163"/>
      <c r="P408" s="164" t="s">
        <v>1610</v>
      </c>
      <c r="Q408" s="165" t="s">
        <v>298</v>
      </c>
      <c r="R408" s="165" t="s">
        <v>1611</v>
      </c>
      <c r="S408" s="151"/>
    </row>
    <row r="409" spans="1:26" ht="18" hidden="1" customHeight="1" x14ac:dyDescent="0.3">
      <c r="A409" s="76">
        <v>408</v>
      </c>
      <c r="B409" s="166" t="s">
        <v>250</v>
      </c>
      <c r="C409" s="175" t="s">
        <v>4</v>
      </c>
      <c r="D409" s="179" t="s">
        <v>154</v>
      </c>
      <c r="E409" s="80" t="s">
        <v>14</v>
      </c>
      <c r="F409" s="81"/>
      <c r="G409" s="82" t="s">
        <v>1612</v>
      </c>
      <c r="H409" s="83" t="s">
        <v>1613</v>
      </c>
      <c r="I409" s="84"/>
      <c r="J409" s="85"/>
      <c r="K409" s="81"/>
      <c r="L409" s="81"/>
      <c r="M409" s="171" t="s">
        <v>257</v>
      </c>
      <c r="N409" s="87"/>
      <c r="O409" s="78"/>
      <c r="P409" s="88" t="s">
        <v>426</v>
      </c>
      <c r="Q409" s="89" t="s">
        <v>298</v>
      </c>
      <c r="R409" s="89"/>
      <c r="S409" s="76"/>
    </row>
    <row r="410" spans="1:26" ht="18" hidden="1" customHeight="1" x14ac:dyDescent="0.3">
      <c r="A410" s="196">
        <v>409</v>
      </c>
      <c r="B410" s="197" t="s">
        <v>189</v>
      </c>
      <c r="C410" s="198" t="s">
        <v>4</v>
      </c>
      <c r="D410" s="199" t="s">
        <v>154</v>
      </c>
      <c r="E410" s="200" t="s">
        <v>13</v>
      </c>
      <c r="F410" s="201"/>
      <c r="G410" s="202" t="s">
        <v>1614</v>
      </c>
      <c r="H410" s="203" t="s">
        <v>1615</v>
      </c>
      <c r="I410" s="204"/>
      <c r="J410" s="205"/>
      <c r="K410" s="201"/>
      <c r="L410" s="201"/>
      <c r="M410" s="206" t="s">
        <v>40</v>
      </c>
      <c r="N410" s="207" t="s">
        <v>1616</v>
      </c>
      <c r="O410" s="208" t="s">
        <v>53</v>
      </c>
      <c r="P410" s="209" t="s">
        <v>54</v>
      </c>
      <c r="Q410" s="210" t="s">
        <v>381</v>
      </c>
      <c r="R410" s="210" t="s">
        <v>1617</v>
      </c>
      <c r="S410" s="196"/>
      <c r="T410" s="71"/>
      <c r="U410" s="71"/>
      <c r="V410" s="71"/>
      <c r="W410" s="71"/>
      <c r="X410" s="71"/>
      <c r="Y410" s="71"/>
      <c r="Z410" s="71"/>
    </row>
    <row r="411" spans="1:26" ht="18" hidden="1" customHeight="1" x14ac:dyDescent="0.3">
      <c r="A411" s="76">
        <v>410</v>
      </c>
      <c r="B411" s="166" t="s">
        <v>250</v>
      </c>
      <c r="C411" s="175" t="s">
        <v>4</v>
      </c>
      <c r="D411" s="179" t="s">
        <v>154</v>
      </c>
      <c r="E411" s="80" t="s">
        <v>13</v>
      </c>
      <c r="F411" s="81"/>
      <c r="G411" s="82" t="s">
        <v>1618</v>
      </c>
      <c r="H411" s="83" t="s">
        <v>1619</v>
      </c>
      <c r="I411" s="84"/>
      <c r="J411" s="85" t="s">
        <v>186</v>
      </c>
      <c r="K411" s="81"/>
      <c r="L411" s="81"/>
      <c r="M411" s="169" t="s">
        <v>257</v>
      </c>
      <c r="N411" s="87"/>
      <c r="O411" s="78" t="s">
        <v>290</v>
      </c>
      <c r="P411" s="88" t="s">
        <v>54</v>
      </c>
      <c r="Q411" s="89" t="s">
        <v>597</v>
      </c>
      <c r="R411" s="89" t="s">
        <v>1620</v>
      </c>
      <c r="S411" s="76"/>
    </row>
    <row r="412" spans="1:26" ht="18" hidden="1" customHeight="1" x14ac:dyDescent="0.3">
      <c r="A412" s="151">
        <v>411</v>
      </c>
      <c r="B412" s="152" t="s">
        <v>250</v>
      </c>
      <c r="C412" s="174" t="s">
        <v>4</v>
      </c>
      <c r="D412" s="178" t="s">
        <v>154</v>
      </c>
      <c r="E412" s="155" t="s">
        <v>13</v>
      </c>
      <c r="F412" s="156"/>
      <c r="G412" s="157" t="s">
        <v>1621</v>
      </c>
      <c r="H412" s="158" t="s">
        <v>1622</v>
      </c>
      <c r="I412" s="159"/>
      <c r="J412" s="160"/>
      <c r="K412" s="156"/>
      <c r="L412" s="156"/>
      <c r="M412" s="169" t="s">
        <v>257</v>
      </c>
      <c r="N412" s="162"/>
      <c r="O412" s="163" t="s">
        <v>53</v>
      </c>
      <c r="P412" s="164" t="s">
        <v>54</v>
      </c>
      <c r="Q412" s="165" t="s">
        <v>258</v>
      </c>
      <c r="R412" s="165" t="s">
        <v>1623</v>
      </c>
      <c r="S412" s="151"/>
    </row>
    <row r="413" spans="1:26" ht="18" hidden="1" customHeight="1" x14ac:dyDescent="0.3">
      <c r="A413" s="76">
        <v>412</v>
      </c>
      <c r="B413" s="166" t="s">
        <v>250</v>
      </c>
      <c r="C413" s="175" t="s">
        <v>4</v>
      </c>
      <c r="D413" s="179" t="s">
        <v>154</v>
      </c>
      <c r="E413" s="80" t="s">
        <v>13</v>
      </c>
      <c r="F413" s="81"/>
      <c r="G413" s="82" t="s">
        <v>1624</v>
      </c>
      <c r="H413" s="83" t="s">
        <v>1625</v>
      </c>
      <c r="I413" s="84"/>
      <c r="J413" s="85"/>
      <c r="K413" s="81"/>
      <c r="L413" s="81"/>
      <c r="M413" s="169" t="s">
        <v>257</v>
      </c>
      <c r="N413" s="87"/>
      <c r="O413" s="78" t="s">
        <v>53</v>
      </c>
      <c r="P413" s="88" t="s">
        <v>1626</v>
      </c>
      <c r="Q413" s="89" t="s">
        <v>254</v>
      </c>
      <c r="R413" s="89" t="s">
        <v>1627</v>
      </c>
      <c r="S413" s="76"/>
    </row>
    <row r="414" spans="1:26" ht="18" hidden="1" customHeight="1" x14ac:dyDescent="0.3">
      <c r="A414" s="151">
        <v>413</v>
      </c>
      <c r="B414" s="152" t="s">
        <v>250</v>
      </c>
      <c r="C414" s="174" t="s">
        <v>4</v>
      </c>
      <c r="D414" s="178" t="s">
        <v>154</v>
      </c>
      <c r="E414" s="155" t="s">
        <v>13</v>
      </c>
      <c r="F414" s="156"/>
      <c r="G414" s="157" t="s">
        <v>1628</v>
      </c>
      <c r="H414" s="158" t="s">
        <v>1629</v>
      </c>
      <c r="I414" s="159"/>
      <c r="J414" s="160" t="s">
        <v>186</v>
      </c>
      <c r="K414" s="156"/>
      <c r="L414" s="156"/>
      <c r="M414" s="169" t="s">
        <v>257</v>
      </c>
      <c r="N414" s="162"/>
      <c r="O414" s="163" t="s">
        <v>53</v>
      </c>
      <c r="P414" s="164" t="s">
        <v>54</v>
      </c>
      <c r="Q414" s="165" t="s">
        <v>258</v>
      </c>
      <c r="R414" s="165" t="s">
        <v>1630</v>
      </c>
      <c r="S414" s="151"/>
    </row>
    <row r="415" spans="1:26" ht="18" hidden="1" customHeight="1" x14ac:dyDescent="0.3">
      <c r="A415" s="76">
        <v>414</v>
      </c>
      <c r="B415" s="166" t="s">
        <v>250</v>
      </c>
      <c r="C415" s="175" t="s">
        <v>4</v>
      </c>
      <c r="D415" s="179" t="s">
        <v>154</v>
      </c>
      <c r="E415" s="80" t="s">
        <v>13</v>
      </c>
      <c r="F415" s="81"/>
      <c r="G415" s="82" t="s">
        <v>1631</v>
      </c>
      <c r="H415" s="83" t="s">
        <v>1632</v>
      </c>
      <c r="I415" s="84"/>
      <c r="J415" s="85" t="s">
        <v>186</v>
      </c>
      <c r="K415" s="81"/>
      <c r="L415" s="81"/>
      <c r="M415" s="169" t="s">
        <v>257</v>
      </c>
      <c r="N415" s="87"/>
      <c r="O415" s="78" t="s">
        <v>290</v>
      </c>
      <c r="P415" s="88" t="s">
        <v>54</v>
      </c>
      <c r="Q415" s="89" t="s">
        <v>264</v>
      </c>
      <c r="R415" s="89" t="s">
        <v>1633</v>
      </c>
      <c r="S415" s="76"/>
    </row>
    <row r="416" spans="1:26" ht="18" hidden="1" customHeight="1" x14ac:dyDescent="0.3">
      <c r="A416" s="151">
        <v>415</v>
      </c>
      <c r="B416" s="152" t="s">
        <v>250</v>
      </c>
      <c r="C416" s="174" t="s">
        <v>4</v>
      </c>
      <c r="D416" s="178" t="s">
        <v>154</v>
      </c>
      <c r="E416" s="155" t="s">
        <v>13</v>
      </c>
      <c r="F416" s="156"/>
      <c r="G416" s="157" t="s">
        <v>1634</v>
      </c>
      <c r="H416" s="158" t="s">
        <v>1635</v>
      </c>
      <c r="I416" s="159"/>
      <c r="J416" s="160" t="s">
        <v>186</v>
      </c>
      <c r="K416" s="156"/>
      <c r="L416" s="156"/>
      <c r="M416" s="169" t="s">
        <v>257</v>
      </c>
      <c r="N416" s="162"/>
      <c r="O416" s="163" t="s">
        <v>53</v>
      </c>
      <c r="P416" s="164" t="s">
        <v>291</v>
      </c>
      <c r="Q416" s="165" t="s">
        <v>264</v>
      </c>
      <c r="R416" s="165" t="s">
        <v>1636</v>
      </c>
      <c r="S416" s="151"/>
    </row>
    <row r="417" spans="1:19" ht="18" hidden="1" customHeight="1" x14ac:dyDescent="0.3">
      <c r="A417" s="76">
        <v>416</v>
      </c>
      <c r="B417" s="166" t="s">
        <v>250</v>
      </c>
      <c r="C417" s="175" t="s">
        <v>4</v>
      </c>
      <c r="D417" s="179" t="s">
        <v>154</v>
      </c>
      <c r="E417" s="80" t="s">
        <v>14</v>
      </c>
      <c r="F417" s="81"/>
      <c r="G417" s="82" t="s">
        <v>1637</v>
      </c>
      <c r="H417" s="83" t="s">
        <v>1638</v>
      </c>
      <c r="I417" s="84"/>
      <c r="J417" s="85"/>
      <c r="K417" s="81"/>
      <c r="L417" s="81"/>
      <c r="M417" s="169" t="s">
        <v>257</v>
      </c>
      <c r="N417" s="87"/>
      <c r="O417" s="78"/>
      <c r="P417" s="88" t="s">
        <v>54</v>
      </c>
      <c r="Q417" s="89" t="s">
        <v>298</v>
      </c>
      <c r="R417" s="89" t="s">
        <v>1639</v>
      </c>
      <c r="S417" s="76"/>
    </row>
    <row r="418" spans="1:19" ht="18" hidden="1" customHeight="1" x14ac:dyDescent="0.3">
      <c r="A418" s="151">
        <v>417</v>
      </c>
      <c r="B418" s="152" t="s">
        <v>250</v>
      </c>
      <c r="C418" s="174" t="s">
        <v>4</v>
      </c>
      <c r="D418" s="178" t="s">
        <v>154</v>
      </c>
      <c r="E418" s="155" t="s">
        <v>13</v>
      </c>
      <c r="F418" s="156"/>
      <c r="G418" s="157" t="s">
        <v>1640</v>
      </c>
      <c r="H418" s="158" t="s">
        <v>1641</v>
      </c>
      <c r="I418" s="159"/>
      <c r="J418" s="160"/>
      <c r="K418" s="156"/>
      <c r="L418" s="156"/>
      <c r="M418" s="169" t="s">
        <v>257</v>
      </c>
      <c r="N418" s="162"/>
      <c r="O418" s="163" t="s">
        <v>354</v>
      </c>
      <c r="P418" s="164" t="s">
        <v>54</v>
      </c>
      <c r="Q418" s="165" t="s">
        <v>152</v>
      </c>
      <c r="R418" s="165" t="s">
        <v>1642</v>
      </c>
      <c r="S418" s="151"/>
    </row>
    <row r="419" spans="1:19" ht="18" hidden="1" customHeight="1" x14ac:dyDescent="0.3">
      <c r="A419" s="76">
        <v>418</v>
      </c>
      <c r="B419" s="166" t="s">
        <v>250</v>
      </c>
      <c r="C419" s="175" t="s">
        <v>4</v>
      </c>
      <c r="D419" s="179" t="s">
        <v>154</v>
      </c>
      <c r="E419" s="80" t="s">
        <v>13</v>
      </c>
      <c r="F419" s="81"/>
      <c r="G419" s="82" t="s">
        <v>1643</v>
      </c>
      <c r="H419" s="83" t="s">
        <v>1644</v>
      </c>
      <c r="I419" s="84"/>
      <c r="J419" s="85" t="s">
        <v>186</v>
      </c>
      <c r="K419" s="81"/>
      <c r="L419" s="81"/>
      <c r="M419" s="169" t="s">
        <v>257</v>
      </c>
      <c r="N419" s="87"/>
      <c r="O419" s="78" t="s">
        <v>354</v>
      </c>
      <c r="P419" s="88" t="s">
        <v>54</v>
      </c>
      <c r="Q419" s="89" t="s">
        <v>355</v>
      </c>
      <c r="R419" s="89" t="s">
        <v>1645</v>
      </c>
      <c r="S419" s="76"/>
    </row>
    <row r="420" spans="1:19" ht="18" hidden="1" customHeight="1" x14ac:dyDescent="0.3">
      <c r="A420" s="151">
        <v>419</v>
      </c>
      <c r="B420" s="152" t="s">
        <v>250</v>
      </c>
      <c r="C420" s="174" t="s">
        <v>4</v>
      </c>
      <c r="D420" s="178" t="s">
        <v>154</v>
      </c>
      <c r="E420" s="155" t="s">
        <v>13</v>
      </c>
      <c r="F420" s="156"/>
      <c r="G420" s="157" t="s">
        <v>1646</v>
      </c>
      <c r="H420" s="158" t="s">
        <v>1647</v>
      </c>
      <c r="I420" s="159"/>
      <c r="J420" s="160"/>
      <c r="K420" s="156"/>
      <c r="L420" s="156"/>
      <c r="M420" s="169" t="s">
        <v>257</v>
      </c>
      <c r="N420" s="162"/>
      <c r="O420" s="163" t="s">
        <v>290</v>
      </c>
      <c r="P420" s="164" t="s">
        <v>495</v>
      </c>
      <c r="Q420" s="165" t="s">
        <v>264</v>
      </c>
      <c r="R420" s="165" t="s">
        <v>1648</v>
      </c>
      <c r="S420" s="151"/>
    </row>
    <row r="421" spans="1:19" ht="18" hidden="1" customHeight="1" x14ac:dyDescent="0.3">
      <c r="A421" s="76">
        <v>420</v>
      </c>
      <c r="B421" s="166" t="s">
        <v>250</v>
      </c>
      <c r="C421" s="175" t="s">
        <v>4</v>
      </c>
      <c r="D421" s="179" t="s">
        <v>154</v>
      </c>
      <c r="E421" s="80" t="s">
        <v>13</v>
      </c>
      <c r="F421" s="81"/>
      <c r="G421" s="82" t="s">
        <v>1649</v>
      </c>
      <c r="H421" s="83" t="s">
        <v>1650</v>
      </c>
      <c r="I421" s="84"/>
      <c r="J421" s="85"/>
      <c r="K421" s="81"/>
      <c r="L421" s="81"/>
      <c r="M421" s="169" t="s">
        <v>257</v>
      </c>
      <c r="N421" s="87"/>
      <c r="O421" s="78" t="s">
        <v>354</v>
      </c>
      <c r="P421" s="88" t="s">
        <v>54</v>
      </c>
      <c r="Q421" s="89" t="s">
        <v>264</v>
      </c>
      <c r="R421" s="89" t="s">
        <v>1651</v>
      </c>
      <c r="S421" s="76"/>
    </row>
    <row r="422" spans="1:19" ht="18" hidden="1" customHeight="1" x14ac:dyDescent="0.3">
      <c r="A422" s="151">
        <v>421</v>
      </c>
      <c r="B422" s="152" t="s">
        <v>250</v>
      </c>
      <c r="C422" s="174" t="s">
        <v>4</v>
      </c>
      <c r="D422" s="178" t="s">
        <v>154</v>
      </c>
      <c r="E422" s="155" t="s">
        <v>13</v>
      </c>
      <c r="F422" s="156"/>
      <c r="G422" s="157" t="s">
        <v>1652</v>
      </c>
      <c r="H422" s="158" t="s">
        <v>1653</v>
      </c>
      <c r="I422" s="159"/>
      <c r="J422" s="160"/>
      <c r="K422" s="156"/>
      <c r="L422" s="156"/>
      <c r="M422" s="169" t="s">
        <v>257</v>
      </c>
      <c r="N422" s="162"/>
      <c r="O422" s="163" t="s">
        <v>354</v>
      </c>
      <c r="P422" s="164" t="s">
        <v>54</v>
      </c>
      <c r="Q422" s="165" t="s">
        <v>264</v>
      </c>
      <c r="R422" s="165" t="s">
        <v>1654</v>
      </c>
      <c r="S422" s="151"/>
    </row>
    <row r="423" spans="1:19" ht="18" hidden="1" customHeight="1" x14ac:dyDescent="0.3">
      <c r="A423" s="76">
        <v>422</v>
      </c>
      <c r="B423" s="166" t="s">
        <v>250</v>
      </c>
      <c r="C423" s="175" t="s">
        <v>4</v>
      </c>
      <c r="D423" s="179" t="s">
        <v>154</v>
      </c>
      <c r="E423" s="80" t="s">
        <v>13</v>
      </c>
      <c r="F423" s="81"/>
      <c r="G423" s="82" t="s">
        <v>1655</v>
      </c>
      <c r="H423" s="83" t="s">
        <v>1656</v>
      </c>
      <c r="I423" s="84"/>
      <c r="J423" s="85"/>
      <c r="K423" s="81"/>
      <c r="L423" s="81"/>
      <c r="M423" s="169" t="s">
        <v>257</v>
      </c>
      <c r="N423" s="87"/>
      <c r="O423" s="78" t="s">
        <v>354</v>
      </c>
      <c r="P423" s="88" t="s">
        <v>54</v>
      </c>
      <c r="Q423" s="89" t="s">
        <v>264</v>
      </c>
      <c r="R423" s="89" t="s">
        <v>1657</v>
      </c>
      <c r="S423" s="76"/>
    </row>
    <row r="424" spans="1:19" ht="18" hidden="1" customHeight="1" x14ac:dyDescent="0.3">
      <c r="A424" s="151">
        <v>423</v>
      </c>
      <c r="B424" s="152" t="s">
        <v>250</v>
      </c>
      <c r="C424" s="174" t="s">
        <v>4</v>
      </c>
      <c r="D424" s="178" t="s">
        <v>154</v>
      </c>
      <c r="E424" s="155" t="s">
        <v>14</v>
      </c>
      <c r="F424" s="156"/>
      <c r="G424" s="157" t="s">
        <v>1658</v>
      </c>
      <c r="H424" s="158" t="s">
        <v>1659</v>
      </c>
      <c r="I424" s="159"/>
      <c r="J424" s="160"/>
      <c r="K424" s="156"/>
      <c r="L424" s="156"/>
      <c r="M424" s="169" t="s">
        <v>257</v>
      </c>
      <c r="N424" s="162"/>
      <c r="O424" s="163"/>
      <c r="P424" s="164" t="s">
        <v>54</v>
      </c>
      <c r="Q424" s="165" t="s">
        <v>345</v>
      </c>
      <c r="R424" s="165" t="s">
        <v>1660</v>
      </c>
      <c r="S424" s="151"/>
    </row>
    <row r="425" spans="1:19" ht="18" hidden="1" customHeight="1" x14ac:dyDescent="0.3">
      <c r="A425" s="76">
        <v>424</v>
      </c>
      <c r="B425" s="166" t="s">
        <v>250</v>
      </c>
      <c r="C425" s="175" t="s">
        <v>4</v>
      </c>
      <c r="D425" s="179" t="s">
        <v>154</v>
      </c>
      <c r="E425" s="80" t="s">
        <v>14</v>
      </c>
      <c r="F425" s="81"/>
      <c r="G425" s="82" t="s">
        <v>1661</v>
      </c>
      <c r="H425" s="83" t="s">
        <v>1662</v>
      </c>
      <c r="I425" s="84"/>
      <c r="J425" s="85"/>
      <c r="K425" s="81"/>
      <c r="L425" s="81"/>
      <c r="M425" s="169" t="s">
        <v>257</v>
      </c>
      <c r="N425" s="87"/>
      <c r="O425" s="78"/>
      <c r="P425" s="88" t="s">
        <v>1663</v>
      </c>
      <c r="Q425" s="89" t="s">
        <v>1309</v>
      </c>
      <c r="R425" s="89" t="s">
        <v>1664</v>
      </c>
      <c r="S425" s="76"/>
    </row>
    <row r="426" spans="1:19" ht="18" hidden="1" customHeight="1" x14ac:dyDescent="0.3">
      <c r="A426" s="151">
        <v>425</v>
      </c>
      <c r="B426" s="152" t="s">
        <v>250</v>
      </c>
      <c r="C426" s="174" t="s">
        <v>4</v>
      </c>
      <c r="D426" s="178" t="s">
        <v>154</v>
      </c>
      <c r="E426" s="155" t="s">
        <v>14</v>
      </c>
      <c r="F426" s="156"/>
      <c r="G426" s="157" t="s">
        <v>1665</v>
      </c>
      <c r="H426" s="158" t="s">
        <v>1666</v>
      </c>
      <c r="I426" s="159"/>
      <c r="J426" s="160"/>
      <c r="K426" s="156"/>
      <c r="L426" s="156"/>
      <c r="M426" s="169" t="s">
        <v>257</v>
      </c>
      <c r="N426" s="162"/>
      <c r="O426" s="163"/>
      <c r="P426" s="164" t="s">
        <v>54</v>
      </c>
      <c r="Q426" s="165" t="s">
        <v>345</v>
      </c>
      <c r="R426" s="165" t="s">
        <v>1667</v>
      </c>
      <c r="S426" s="151"/>
    </row>
    <row r="427" spans="1:19" ht="18" hidden="1" customHeight="1" x14ac:dyDescent="0.3">
      <c r="A427" s="76">
        <v>426</v>
      </c>
      <c r="B427" s="166" t="s">
        <v>250</v>
      </c>
      <c r="C427" s="175" t="s">
        <v>4</v>
      </c>
      <c r="D427" s="179" t="s">
        <v>154</v>
      </c>
      <c r="E427" s="80" t="s">
        <v>14</v>
      </c>
      <c r="F427" s="81"/>
      <c r="G427" s="82" t="s">
        <v>1668</v>
      </c>
      <c r="H427" s="83" t="s">
        <v>1669</v>
      </c>
      <c r="I427" s="84"/>
      <c r="J427" s="85"/>
      <c r="K427" s="81"/>
      <c r="L427" s="81"/>
      <c r="M427" s="169" t="s">
        <v>257</v>
      </c>
      <c r="N427" s="87"/>
      <c r="O427" s="78"/>
      <c r="P427" s="88" t="s">
        <v>54</v>
      </c>
      <c r="Q427" s="89" t="s">
        <v>298</v>
      </c>
      <c r="R427" s="89" t="s">
        <v>1670</v>
      </c>
      <c r="S427" s="76"/>
    </row>
    <row r="428" spans="1:19" ht="18" hidden="1" customHeight="1" x14ac:dyDescent="0.3">
      <c r="A428" s="151">
        <v>427</v>
      </c>
      <c r="B428" s="152" t="s">
        <v>250</v>
      </c>
      <c r="C428" s="174" t="s">
        <v>4</v>
      </c>
      <c r="D428" s="178" t="s">
        <v>154</v>
      </c>
      <c r="E428" s="155" t="s">
        <v>14</v>
      </c>
      <c r="F428" s="156"/>
      <c r="G428" s="157" t="s">
        <v>1671</v>
      </c>
      <c r="H428" s="158" t="s">
        <v>1672</v>
      </c>
      <c r="I428" s="159"/>
      <c r="J428" s="160"/>
      <c r="K428" s="156"/>
      <c r="L428" s="156"/>
      <c r="M428" s="169" t="s">
        <v>257</v>
      </c>
      <c r="N428" s="162"/>
      <c r="O428" s="163"/>
      <c r="P428" s="164" t="s">
        <v>1673</v>
      </c>
      <c r="Q428" s="165" t="s">
        <v>292</v>
      </c>
      <c r="R428" s="165" t="s">
        <v>1674</v>
      </c>
      <c r="S428" s="151"/>
    </row>
    <row r="429" spans="1:19" ht="18" hidden="1" customHeight="1" x14ac:dyDescent="0.3">
      <c r="A429" s="76">
        <v>428</v>
      </c>
      <c r="B429" s="166" t="s">
        <v>250</v>
      </c>
      <c r="C429" s="175" t="s">
        <v>4</v>
      </c>
      <c r="D429" s="179" t="s">
        <v>154</v>
      </c>
      <c r="E429" s="80" t="s">
        <v>14</v>
      </c>
      <c r="F429" s="81"/>
      <c r="G429" s="82" t="s">
        <v>1675</v>
      </c>
      <c r="H429" s="83" t="s">
        <v>1676</v>
      </c>
      <c r="I429" s="84"/>
      <c r="J429" s="85"/>
      <c r="K429" s="81"/>
      <c r="L429" s="81"/>
      <c r="M429" s="169" t="s">
        <v>257</v>
      </c>
      <c r="N429" s="87"/>
      <c r="O429" s="78"/>
      <c r="P429" s="88" t="s">
        <v>1677</v>
      </c>
      <c r="Q429" s="89" t="s">
        <v>298</v>
      </c>
      <c r="R429" s="89" t="s">
        <v>1678</v>
      </c>
      <c r="S429" s="76"/>
    </row>
    <row r="430" spans="1:19" ht="18" hidden="1" customHeight="1" x14ac:dyDescent="0.3">
      <c r="A430" s="151">
        <v>429</v>
      </c>
      <c r="B430" s="152" t="s">
        <v>250</v>
      </c>
      <c r="C430" s="174" t="s">
        <v>4</v>
      </c>
      <c r="D430" s="178" t="s">
        <v>154</v>
      </c>
      <c r="E430" s="155" t="s">
        <v>14</v>
      </c>
      <c r="F430" s="156"/>
      <c r="G430" s="157" t="s">
        <v>1679</v>
      </c>
      <c r="H430" s="158" t="s">
        <v>1680</v>
      </c>
      <c r="I430" s="159"/>
      <c r="J430" s="160"/>
      <c r="K430" s="156"/>
      <c r="L430" s="156"/>
      <c r="M430" s="169" t="s">
        <v>257</v>
      </c>
      <c r="N430" s="162"/>
      <c r="O430" s="163"/>
      <c r="P430" s="164" t="s">
        <v>1681</v>
      </c>
      <c r="Q430" s="165" t="s">
        <v>298</v>
      </c>
      <c r="R430" s="165" t="s">
        <v>1682</v>
      </c>
      <c r="S430" s="151"/>
    </row>
    <row r="431" spans="1:19" ht="18" hidden="1" customHeight="1" x14ac:dyDescent="0.3">
      <c r="A431" s="76">
        <v>430</v>
      </c>
      <c r="B431" s="166" t="s">
        <v>250</v>
      </c>
      <c r="C431" s="175" t="s">
        <v>4</v>
      </c>
      <c r="D431" s="179" t="s">
        <v>154</v>
      </c>
      <c r="E431" s="80" t="s">
        <v>14</v>
      </c>
      <c r="F431" s="81"/>
      <c r="G431" s="82" t="s">
        <v>1683</v>
      </c>
      <c r="H431" s="83" t="s">
        <v>1684</v>
      </c>
      <c r="I431" s="84"/>
      <c r="J431" s="85"/>
      <c r="K431" s="81"/>
      <c r="L431" s="81"/>
      <c r="M431" s="169" t="s">
        <v>257</v>
      </c>
      <c r="N431" s="87"/>
      <c r="O431" s="78"/>
      <c r="P431" s="88" t="s">
        <v>340</v>
      </c>
      <c r="Q431" s="89" t="s">
        <v>298</v>
      </c>
      <c r="R431" s="89" t="s">
        <v>1685</v>
      </c>
      <c r="S431" s="76"/>
    </row>
    <row r="432" spans="1:19" ht="18" hidden="1" customHeight="1" x14ac:dyDescent="0.3">
      <c r="A432" s="151">
        <v>431</v>
      </c>
      <c r="B432" s="152" t="s">
        <v>250</v>
      </c>
      <c r="C432" s="174" t="s">
        <v>4</v>
      </c>
      <c r="D432" s="178" t="s">
        <v>154</v>
      </c>
      <c r="E432" s="155" t="s">
        <v>14</v>
      </c>
      <c r="F432" s="156"/>
      <c r="G432" s="157" t="s">
        <v>1686</v>
      </c>
      <c r="H432" s="158" t="s">
        <v>1687</v>
      </c>
      <c r="I432" s="159"/>
      <c r="J432" s="160"/>
      <c r="K432" s="156"/>
      <c r="L432" s="156"/>
      <c r="M432" s="169" t="s">
        <v>257</v>
      </c>
      <c r="N432" s="162"/>
      <c r="O432" s="163"/>
      <c r="P432" s="164" t="s">
        <v>329</v>
      </c>
      <c r="Q432" s="165" t="s">
        <v>298</v>
      </c>
      <c r="R432" s="165" t="s">
        <v>1688</v>
      </c>
      <c r="S432" s="151"/>
    </row>
    <row r="433" spans="1:19" ht="18" hidden="1" customHeight="1" x14ac:dyDescent="0.3">
      <c r="A433" s="76">
        <v>432</v>
      </c>
      <c r="B433" s="166" t="s">
        <v>250</v>
      </c>
      <c r="C433" s="175" t="s">
        <v>4</v>
      </c>
      <c r="D433" s="179" t="s">
        <v>154</v>
      </c>
      <c r="E433" s="80" t="s">
        <v>14</v>
      </c>
      <c r="F433" s="81"/>
      <c r="G433" s="82" t="s">
        <v>1689</v>
      </c>
      <c r="H433" s="83" t="s">
        <v>1690</v>
      </c>
      <c r="I433" s="84"/>
      <c r="J433" s="85" t="s">
        <v>186</v>
      </c>
      <c r="K433" s="81"/>
      <c r="L433" s="81"/>
      <c r="M433" s="169" t="s">
        <v>257</v>
      </c>
      <c r="N433" s="87"/>
      <c r="O433" s="78"/>
      <c r="P433" s="88" t="s">
        <v>525</v>
      </c>
      <c r="Q433" s="89" t="s">
        <v>298</v>
      </c>
      <c r="R433" s="89" t="s">
        <v>1691</v>
      </c>
      <c r="S433" s="76"/>
    </row>
    <row r="434" spans="1:19" ht="18" hidden="1" customHeight="1" x14ac:dyDescent="0.3">
      <c r="A434" s="151">
        <v>433</v>
      </c>
      <c r="B434" s="152" t="s">
        <v>250</v>
      </c>
      <c r="C434" s="174" t="s">
        <v>4</v>
      </c>
      <c r="D434" s="178" t="s">
        <v>154</v>
      </c>
      <c r="E434" s="155" t="s">
        <v>14</v>
      </c>
      <c r="F434" s="156"/>
      <c r="G434" s="157" t="s">
        <v>1692</v>
      </c>
      <c r="H434" s="158" t="s">
        <v>1693</v>
      </c>
      <c r="I434" s="159"/>
      <c r="J434" s="160"/>
      <c r="K434" s="156"/>
      <c r="L434" s="156"/>
      <c r="M434" s="169" t="s">
        <v>257</v>
      </c>
      <c r="N434" s="162"/>
      <c r="O434" s="163"/>
      <c r="P434" s="164" t="s">
        <v>1155</v>
      </c>
      <c r="Q434" s="165" t="s">
        <v>298</v>
      </c>
      <c r="R434" s="165" t="s">
        <v>1694</v>
      </c>
      <c r="S434" s="151"/>
    </row>
    <row r="435" spans="1:19" ht="18" hidden="1" customHeight="1" x14ac:dyDescent="0.3">
      <c r="A435" s="76">
        <v>434</v>
      </c>
      <c r="B435" s="166" t="s">
        <v>250</v>
      </c>
      <c r="C435" s="175" t="s">
        <v>4</v>
      </c>
      <c r="D435" s="179" t="s">
        <v>154</v>
      </c>
      <c r="E435" s="80" t="s">
        <v>14</v>
      </c>
      <c r="F435" s="81"/>
      <c r="G435" s="82" t="s">
        <v>1695</v>
      </c>
      <c r="H435" s="83" t="s">
        <v>1696</v>
      </c>
      <c r="I435" s="84"/>
      <c r="J435" s="85" t="s">
        <v>186</v>
      </c>
      <c r="K435" s="81"/>
      <c r="L435" s="81"/>
      <c r="M435" s="169" t="s">
        <v>257</v>
      </c>
      <c r="N435" s="87"/>
      <c r="O435" s="78"/>
      <c r="P435" s="88" t="s">
        <v>340</v>
      </c>
      <c r="Q435" s="89" t="s">
        <v>298</v>
      </c>
      <c r="R435" s="89" t="s">
        <v>1697</v>
      </c>
      <c r="S435" s="76"/>
    </row>
    <row r="436" spans="1:19" ht="18" hidden="1" customHeight="1" x14ac:dyDescent="0.3">
      <c r="A436" s="151">
        <v>435</v>
      </c>
      <c r="B436" s="152" t="s">
        <v>250</v>
      </c>
      <c r="C436" s="174" t="s">
        <v>4</v>
      </c>
      <c r="D436" s="178" t="s">
        <v>154</v>
      </c>
      <c r="E436" s="155" t="s">
        <v>14</v>
      </c>
      <c r="F436" s="156"/>
      <c r="G436" s="157" t="s">
        <v>1698</v>
      </c>
      <c r="H436" s="158" t="s">
        <v>1699</v>
      </c>
      <c r="I436" s="159"/>
      <c r="J436" s="160"/>
      <c r="K436" s="156"/>
      <c r="L436" s="156"/>
      <c r="M436" s="169" t="s">
        <v>257</v>
      </c>
      <c r="N436" s="162"/>
      <c r="O436" s="163"/>
      <c r="P436" s="164" t="s">
        <v>333</v>
      </c>
      <c r="Q436" s="165" t="s">
        <v>298</v>
      </c>
      <c r="R436" s="165" t="s">
        <v>1700</v>
      </c>
      <c r="S436" s="151"/>
    </row>
    <row r="437" spans="1:19" ht="18" hidden="1" customHeight="1" x14ac:dyDescent="0.3">
      <c r="A437" s="76">
        <v>436</v>
      </c>
      <c r="B437" s="166" t="s">
        <v>250</v>
      </c>
      <c r="C437" s="175" t="s">
        <v>4</v>
      </c>
      <c r="D437" s="179" t="s">
        <v>154</v>
      </c>
      <c r="E437" s="80" t="s">
        <v>13</v>
      </c>
      <c r="F437" s="81"/>
      <c r="G437" s="82" t="s">
        <v>1701</v>
      </c>
      <c r="H437" s="83" t="s">
        <v>1702</v>
      </c>
      <c r="I437" s="84"/>
      <c r="J437" s="85" t="s">
        <v>186</v>
      </c>
      <c r="K437" s="81"/>
      <c r="L437" s="81"/>
      <c r="M437" s="169" t="s">
        <v>257</v>
      </c>
      <c r="N437" s="87"/>
      <c r="O437" s="78" t="s">
        <v>354</v>
      </c>
      <c r="P437" s="88" t="s">
        <v>54</v>
      </c>
      <c r="Q437" s="89" t="s">
        <v>258</v>
      </c>
      <c r="R437" s="89" t="s">
        <v>1703</v>
      </c>
      <c r="S437" s="76"/>
    </row>
    <row r="438" spans="1:19" ht="18" hidden="1" customHeight="1" x14ac:dyDescent="0.3">
      <c r="A438" s="151">
        <v>437</v>
      </c>
      <c r="B438" s="152" t="s">
        <v>250</v>
      </c>
      <c r="C438" s="174" t="s">
        <v>4</v>
      </c>
      <c r="D438" s="178" t="s">
        <v>154</v>
      </c>
      <c r="E438" s="155" t="s">
        <v>13</v>
      </c>
      <c r="F438" s="156"/>
      <c r="G438" s="157" t="s">
        <v>1704</v>
      </c>
      <c r="H438" s="158" t="s">
        <v>1705</v>
      </c>
      <c r="I438" s="159"/>
      <c r="J438" s="160"/>
      <c r="K438" s="156"/>
      <c r="L438" s="156"/>
      <c r="M438" s="169" t="s">
        <v>257</v>
      </c>
      <c r="N438" s="162"/>
      <c r="O438" s="163" t="s">
        <v>354</v>
      </c>
      <c r="P438" s="164" t="s">
        <v>495</v>
      </c>
      <c r="Q438" s="165" t="s">
        <v>264</v>
      </c>
      <c r="R438" s="165" t="s">
        <v>1706</v>
      </c>
      <c r="S438" s="151"/>
    </row>
    <row r="439" spans="1:19" ht="18" hidden="1" customHeight="1" x14ac:dyDescent="0.3">
      <c r="A439" s="76">
        <v>438</v>
      </c>
      <c r="B439" s="166" t="s">
        <v>250</v>
      </c>
      <c r="C439" s="175" t="s">
        <v>4</v>
      </c>
      <c r="D439" s="179" t="s">
        <v>154</v>
      </c>
      <c r="E439" s="80" t="s">
        <v>13</v>
      </c>
      <c r="F439" s="81"/>
      <c r="G439" s="82" t="s">
        <v>1707</v>
      </c>
      <c r="H439" s="83" t="s">
        <v>1708</v>
      </c>
      <c r="I439" s="84"/>
      <c r="J439" s="85" t="s">
        <v>186</v>
      </c>
      <c r="K439" s="81"/>
      <c r="L439" s="81"/>
      <c r="M439" s="169" t="s">
        <v>257</v>
      </c>
      <c r="N439" s="87"/>
      <c r="O439" s="78" t="s">
        <v>354</v>
      </c>
      <c r="P439" s="88" t="s">
        <v>54</v>
      </c>
      <c r="Q439" s="89" t="s">
        <v>264</v>
      </c>
      <c r="R439" s="89" t="s">
        <v>1709</v>
      </c>
      <c r="S439" s="76"/>
    </row>
    <row r="440" spans="1:19" ht="18" hidden="1" customHeight="1" x14ac:dyDescent="0.3">
      <c r="A440" s="151">
        <v>439</v>
      </c>
      <c r="B440" s="152" t="s">
        <v>250</v>
      </c>
      <c r="C440" s="174" t="s">
        <v>4</v>
      </c>
      <c r="D440" s="178" t="s">
        <v>154</v>
      </c>
      <c r="E440" s="155" t="s">
        <v>13</v>
      </c>
      <c r="F440" s="156"/>
      <c r="G440" s="157" t="s">
        <v>1710</v>
      </c>
      <c r="H440" s="158" t="s">
        <v>1711</v>
      </c>
      <c r="I440" s="159"/>
      <c r="J440" s="160" t="s">
        <v>186</v>
      </c>
      <c r="K440" s="156"/>
      <c r="L440" s="156"/>
      <c r="M440" s="161" t="s">
        <v>257</v>
      </c>
      <c r="N440" s="162"/>
      <c r="O440" s="163" t="s">
        <v>290</v>
      </c>
      <c r="P440" s="164" t="s">
        <v>73</v>
      </c>
      <c r="Q440" s="165" t="s">
        <v>264</v>
      </c>
      <c r="R440" s="165" t="s">
        <v>1712</v>
      </c>
      <c r="S440" s="151"/>
    </row>
    <row r="441" spans="1:19" ht="18" hidden="1" customHeight="1" x14ac:dyDescent="0.3">
      <c r="A441" s="76">
        <v>440</v>
      </c>
      <c r="B441" s="166" t="s">
        <v>250</v>
      </c>
      <c r="C441" s="175" t="s">
        <v>4</v>
      </c>
      <c r="D441" s="179" t="s">
        <v>154</v>
      </c>
      <c r="E441" s="80" t="s">
        <v>14</v>
      </c>
      <c r="F441" s="81"/>
      <c r="G441" s="82" t="s">
        <v>1713</v>
      </c>
      <c r="H441" s="83" t="s">
        <v>1714</v>
      </c>
      <c r="I441" s="84"/>
      <c r="J441" s="85"/>
      <c r="K441" s="81"/>
      <c r="L441" s="81"/>
      <c r="M441" s="86" t="s">
        <v>257</v>
      </c>
      <c r="N441" s="87"/>
      <c r="O441" s="78"/>
      <c r="P441" s="88" t="s">
        <v>54</v>
      </c>
      <c r="Q441" s="89" t="s">
        <v>292</v>
      </c>
      <c r="R441" s="89" t="s">
        <v>1715</v>
      </c>
      <c r="S441" s="76"/>
    </row>
    <row r="442" spans="1:19" ht="18" hidden="1" customHeight="1" x14ac:dyDescent="0.3">
      <c r="A442" s="151">
        <v>441</v>
      </c>
      <c r="B442" s="152" t="s">
        <v>250</v>
      </c>
      <c r="C442" s="174" t="s">
        <v>4</v>
      </c>
      <c r="D442" s="178" t="s">
        <v>154</v>
      </c>
      <c r="E442" s="155" t="s">
        <v>14</v>
      </c>
      <c r="F442" s="156"/>
      <c r="G442" s="157" t="s">
        <v>1716</v>
      </c>
      <c r="H442" s="158" t="s">
        <v>1717</v>
      </c>
      <c r="I442" s="159"/>
      <c r="J442" s="160"/>
      <c r="K442" s="156"/>
      <c r="L442" s="156"/>
      <c r="M442" s="171" t="s">
        <v>257</v>
      </c>
      <c r="N442" s="162"/>
      <c r="O442" s="163"/>
      <c r="P442" s="164" t="s">
        <v>1718</v>
      </c>
      <c r="Q442" s="165" t="s">
        <v>292</v>
      </c>
      <c r="R442" s="165" t="s">
        <v>1719</v>
      </c>
      <c r="S442" s="151"/>
    </row>
    <row r="443" spans="1:19" ht="18" hidden="1" customHeight="1" x14ac:dyDescent="0.3">
      <c r="A443" s="76">
        <v>442</v>
      </c>
      <c r="B443" s="166" t="s">
        <v>250</v>
      </c>
      <c r="C443" s="175" t="s">
        <v>4</v>
      </c>
      <c r="D443" s="179" t="s">
        <v>154</v>
      </c>
      <c r="E443" s="80" t="s">
        <v>14</v>
      </c>
      <c r="F443" s="81"/>
      <c r="G443" s="82" t="s">
        <v>1720</v>
      </c>
      <c r="H443" s="83" t="s">
        <v>1721</v>
      </c>
      <c r="I443" s="84"/>
      <c r="J443" s="85"/>
      <c r="K443" s="81"/>
      <c r="L443" s="81"/>
      <c r="M443" s="86" t="s">
        <v>40</v>
      </c>
      <c r="N443" s="87" t="s">
        <v>1722</v>
      </c>
      <c r="O443" s="78"/>
      <c r="P443" s="88" t="s">
        <v>54</v>
      </c>
      <c r="Q443" s="89" t="s">
        <v>292</v>
      </c>
      <c r="R443" s="89" t="s">
        <v>1723</v>
      </c>
      <c r="S443" s="76"/>
    </row>
    <row r="444" spans="1:19" ht="18" hidden="1" customHeight="1" x14ac:dyDescent="0.3">
      <c r="A444" s="151">
        <v>443</v>
      </c>
      <c r="B444" s="152" t="s">
        <v>250</v>
      </c>
      <c r="C444" s="174" t="s">
        <v>4</v>
      </c>
      <c r="D444" s="178" t="s">
        <v>154</v>
      </c>
      <c r="E444" s="155" t="s">
        <v>14</v>
      </c>
      <c r="F444" s="156"/>
      <c r="G444" s="157" t="s">
        <v>1724</v>
      </c>
      <c r="H444" s="158" t="s">
        <v>1725</v>
      </c>
      <c r="I444" s="159"/>
      <c r="J444" s="160"/>
      <c r="K444" s="156"/>
      <c r="L444" s="156"/>
      <c r="M444" s="171" t="s">
        <v>40</v>
      </c>
      <c r="N444" s="162" t="s">
        <v>1403</v>
      </c>
      <c r="O444" s="163"/>
      <c r="P444" s="164" t="s">
        <v>54</v>
      </c>
      <c r="Q444" s="165" t="s">
        <v>298</v>
      </c>
      <c r="R444" s="165" t="s">
        <v>1726</v>
      </c>
      <c r="S444" s="151"/>
    </row>
    <row r="445" spans="1:19" ht="18" hidden="1" customHeight="1" x14ac:dyDescent="0.3">
      <c r="A445" s="76">
        <v>444</v>
      </c>
      <c r="B445" s="166" t="s">
        <v>250</v>
      </c>
      <c r="C445" s="175" t="s">
        <v>4</v>
      </c>
      <c r="D445" s="179" t="s">
        <v>154</v>
      </c>
      <c r="E445" s="80" t="s">
        <v>13</v>
      </c>
      <c r="F445" s="173" t="s">
        <v>62</v>
      </c>
      <c r="G445" s="82" t="s">
        <v>1727</v>
      </c>
      <c r="H445" s="83" t="s">
        <v>1728</v>
      </c>
      <c r="I445" s="84" t="s">
        <v>1729</v>
      </c>
      <c r="J445" s="85" t="s">
        <v>186</v>
      </c>
      <c r="K445" s="81"/>
      <c r="L445" s="81"/>
      <c r="M445" s="86" t="s">
        <v>40</v>
      </c>
      <c r="N445" s="87" t="s">
        <v>1730</v>
      </c>
      <c r="O445" s="78"/>
      <c r="P445" s="88"/>
      <c r="Q445" s="89"/>
      <c r="R445" s="89" t="s">
        <v>1731</v>
      </c>
      <c r="S445" s="76"/>
    </row>
    <row r="446" spans="1:19" ht="18" hidden="1" customHeight="1" x14ac:dyDescent="0.3">
      <c r="A446" s="151">
        <v>445</v>
      </c>
      <c r="B446" s="152" t="s">
        <v>250</v>
      </c>
      <c r="C446" s="174" t="s">
        <v>4</v>
      </c>
      <c r="D446" s="178" t="s">
        <v>154</v>
      </c>
      <c r="E446" s="155" t="s">
        <v>13</v>
      </c>
      <c r="F446" s="156"/>
      <c r="G446" s="157" t="s">
        <v>1732</v>
      </c>
      <c r="H446" s="158" t="s">
        <v>1733</v>
      </c>
      <c r="I446" s="159" t="s">
        <v>1734</v>
      </c>
      <c r="J446" s="160"/>
      <c r="K446" s="156"/>
      <c r="L446" s="156"/>
      <c r="M446" s="161" t="s">
        <v>257</v>
      </c>
      <c r="N446" s="162"/>
      <c r="O446" s="163" t="s">
        <v>53</v>
      </c>
      <c r="P446" s="164" t="s">
        <v>790</v>
      </c>
      <c r="Q446" s="165" t="s">
        <v>254</v>
      </c>
      <c r="R446" s="165" t="s">
        <v>1735</v>
      </c>
      <c r="S446" s="151"/>
    </row>
    <row r="447" spans="1:19" ht="18" hidden="1" customHeight="1" x14ac:dyDescent="0.3">
      <c r="A447" s="76">
        <v>446</v>
      </c>
      <c r="B447" s="166" t="s">
        <v>250</v>
      </c>
      <c r="C447" s="175" t="s">
        <v>4</v>
      </c>
      <c r="D447" s="179" t="s">
        <v>154</v>
      </c>
      <c r="E447" s="80" t="s">
        <v>13</v>
      </c>
      <c r="F447" s="81"/>
      <c r="G447" s="82" t="s">
        <v>1736</v>
      </c>
      <c r="H447" s="83" t="s">
        <v>1737</v>
      </c>
      <c r="I447" s="84" t="s">
        <v>1738</v>
      </c>
      <c r="J447" s="85" t="s">
        <v>186</v>
      </c>
      <c r="K447" s="81"/>
      <c r="L447" s="81"/>
      <c r="M447" s="161" t="s">
        <v>257</v>
      </c>
      <c r="N447" s="87"/>
      <c r="O447" s="78" t="s">
        <v>53</v>
      </c>
      <c r="P447" s="88" t="s">
        <v>393</v>
      </c>
      <c r="Q447" s="89" t="s">
        <v>355</v>
      </c>
      <c r="R447" s="89" t="s">
        <v>1739</v>
      </c>
      <c r="S447" s="76"/>
    </row>
    <row r="448" spans="1:19" ht="18" hidden="1" customHeight="1" x14ac:dyDescent="0.3">
      <c r="A448" s="151">
        <v>447</v>
      </c>
      <c r="B448" s="152" t="s">
        <v>250</v>
      </c>
      <c r="C448" s="174" t="s">
        <v>4</v>
      </c>
      <c r="D448" s="178" t="s">
        <v>154</v>
      </c>
      <c r="E448" s="155" t="s">
        <v>13</v>
      </c>
      <c r="F448" s="156"/>
      <c r="G448" s="157" t="s">
        <v>1740</v>
      </c>
      <c r="H448" s="158" t="s">
        <v>1741</v>
      </c>
      <c r="I448" s="159" t="s">
        <v>219</v>
      </c>
      <c r="J448" s="160"/>
      <c r="K448" s="156"/>
      <c r="L448" s="156"/>
      <c r="M448" s="161" t="s">
        <v>257</v>
      </c>
      <c r="N448" s="162"/>
      <c r="O448" s="163" t="s">
        <v>290</v>
      </c>
      <c r="P448" s="164" t="s">
        <v>73</v>
      </c>
      <c r="Q448" s="165" t="s">
        <v>597</v>
      </c>
      <c r="R448" s="165" t="s">
        <v>1742</v>
      </c>
      <c r="S448" s="151"/>
    </row>
    <row r="449" spans="1:19" ht="18" hidden="1" customHeight="1" x14ac:dyDescent="0.3">
      <c r="A449" s="76">
        <v>448</v>
      </c>
      <c r="B449" s="166" t="s">
        <v>250</v>
      </c>
      <c r="C449" s="175" t="s">
        <v>4</v>
      </c>
      <c r="D449" s="179" t="s">
        <v>154</v>
      </c>
      <c r="E449" s="80" t="s">
        <v>14</v>
      </c>
      <c r="F449" s="81"/>
      <c r="G449" s="82" t="s">
        <v>1743</v>
      </c>
      <c r="H449" s="83"/>
      <c r="I449" s="84" t="s">
        <v>1744</v>
      </c>
      <c r="J449" s="85"/>
      <c r="K449" s="81"/>
      <c r="L449" s="81"/>
      <c r="M449" s="161" t="s">
        <v>257</v>
      </c>
      <c r="N449" s="87"/>
      <c r="O449" s="78"/>
      <c r="P449" s="88" t="s">
        <v>73</v>
      </c>
      <c r="Q449" s="89" t="s">
        <v>298</v>
      </c>
      <c r="R449" s="89" t="s">
        <v>1745</v>
      </c>
      <c r="S449" s="76"/>
    </row>
    <row r="450" spans="1:19" ht="18" hidden="1" customHeight="1" x14ac:dyDescent="0.3">
      <c r="A450" s="151">
        <v>449</v>
      </c>
      <c r="B450" s="152" t="s">
        <v>250</v>
      </c>
      <c r="C450" s="174" t="s">
        <v>4</v>
      </c>
      <c r="D450" s="178" t="s">
        <v>154</v>
      </c>
      <c r="E450" s="155" t="s">
        <v>14</v>
      </c>
      <c r="F450" s="156"/>
      <c r="G450" s="157" t="s">
        <v>1746</v>
      </c>
      <c r="H450" s="158" t="s">
        <v>1747</v>
      </c>
      <c r="I450" s="159" t="s">
        <v>1748</v>
      </c>
      <c r="J450" s="160" t="s">
        <v>186</v>
      </c>
      <c r="K450" s="156"/>
      <c r="L450" s="156"/>
      <c r="M450" s="161" t="s">
        <v>257</v>
      </c>
      <c r="N450" s="162"/>
      <c r="O450" s="163"/>
      <c r="P450" s="164" t="s">
        <v>790</v>
      </c>
      <c r="Q450" s="165" t="s">
        <v>298</v>
      </c>
      <c r="R450" s="165" t="s">
        <v>1749</v>
      </c>
      <c r="S450" s="151"/>
    </row>
    <row r="451" spans="1:19" ht="18" hidden="1" customHeight="1" x14ac:dyDescent="0.3">
      <c r="A451" s="76">
        <v>450</v>
      </c>
      <c r="B451" s="166" t="s">
        <v>250</v>
      </c>
      <c r="C451" s="175" t="s">
        <v>4</v>
      </c>
      <c r="D451" s="179" t="s">
        <v>154</v>
      </c>
      <c r="E451" s="80" t="s">
        <v>14</v>
      </c>
      <c r="F451" s="81"/>
      <c r="G451" s="82" t="s">
        <v>1750</v>
      </c>
      <c r="H451" s="83" t="s">
        <v>1751</v>
      </c>
      <c r="I451" s="84" t="s">
        <v>1752</v>
      </c>
      <c r="J451" s="85"/>
      <c r="K451" s="81"/>
      <c r="L451" s="81"/>
      <c r="M451" s="161" t="s">
        <v>257</v>
      </c>
      <c r="N451" s="87"/>
      <c r="O451" s="78"/>
      <c r="P451" s="88" t="s">
        <v>1753</v>
      </c>
      <c r="Q451" s="89" t="s">
        <v>298</v>
      </c>
      <c r="R451" s="89" t="s">
        <v>1754</v>
      </c>
      <c r="S451" s="76"/>
    </row>
    <row r="452" spans="1:19" ht="18" hidden="1" customHeight="1" x14ac:dyDescent="0.3">
      <c r="A452" s="151">
        <v>451</v>
      </c>
      <c r="B452" s="152" t="s">
        <v>250</v>
      </c>
      <c r="C452" s="174" t="s">
        <v>4</v>
      </c>
      <c r="D452" s="178" t="s">
        <v>154</v>
      </c>
      <c r="E452" s="155" t="s">
        <v>14</v>
      </c>
      <c r="F452" s="156"/>
      <c r="G452" s="157" t="s">
        <v>1755</v>
      </c>
      <c r="H452" s="158" t="s">
        <v>1756</v>
      </c>
      <c r="I452" s="159" t="s">
        <v>130</v>
      </c>
      <c r="J452" s="160"/>
      <c r="K452" s="156"/>
      <c r="L452" s="156"/>
      <c r="M452" s="161" t="s">
        <v>257</v>
      </c>
      <c r="N452" s="162"/>
      <c r="O452" s="163"/>
      <c r="P452" s="164" t="s">
        <v>1757</v>
      </c>
      <c r="Q452" s="165" t="s">
        <v>841</v>
      </c>
      <c r="R452" s="165" t="s">
        <v>1758</v>
      </c>
      <c r="S452" s="151"/>
    </row>
    <row r="453" spans="1:19" ht="18" hidden="1" customHeight="1" x14ac:dyDescent="0.3">
      <c r="A453" s="76">
        <v>452</v>
      </c>
      <c r="B453" s="166" t="s">
        <v>250</v>
      </c>
      <c r="C453" s="175" t="s">
        <v>4</v>
      </c>
      <c r="D453" s="179" t="s">
        <v>154</v>
      </c>
      <c r="E453" s="80" t="s">
        <v>14</v>
      </c>
      <c r="F453" s="81"/>
      <c r="G453" s="82" t="s">
        <v>1759</v>
      </c>
      <c r="H453" s="83"/>
      <c r="I453" s="84" t="s">
        <v>1760</v>
      </c>
      <c r="J453" s="85"/>
      <c r="K453" s="81"/>
      <c r="L453" s="81"/>
      <c r="M453" s="161" t="s">
        <v>257</v>
      </c>
      <c r="N453" s="87"/>
      <c r="O453" s="78"/>
      <c r="P453" s="88" t="s">
        <v>790</v>
      </c>
      <c r="Q453" s="89" t="s">
        <v>298</v>
      </c>
      <c r="R453" s="89" t="s">
        <v>1761</v>
      </c>
      <c r="S453" s="76"/>
    </row>
    <row r="454" spans="1:19" ht="18" hidden="1" customHeight="1" x14ac:dyDescent="0.3">
      <c r="A454" s="151">
        <v>453</v>
      </c>
      <c r="B454" s="152" t="s">
        <v>250</v>
      </c>
      <c r="C454" s="174" t="s">
        <v>4</v>
      </c>
      <c r="D454" s="178" t="s">
        <v>154</v>
      </c>
      <c r="E454" s="155" t="s">
        <v>14</v>
      </c>
      <c r="F454" s="156"/>
      <c r="G454" s="157" t="s">
        <v>1762</v>
      </c>
      <c r="H454" s="158" t="s">
        <v>1763</v>
      </c>
      <c r="I454" s="159" t="s">
        <v>1764</v>
      </c>
      <c r="J454" s="160"/>
      <c r="K454" s="156"/>
      <c r="L454" s="156"/>
      <c r="M454" s="161" t="s">
        <v>257</v>
      </c>
      <c r="N454" s="162"/>
      <c r="O454" s="163"/>
      <c r="P454" s="164" t="s">
        <v>1765</v>
      </c>
      <c r="Q454" s="165" t="s">
        <v>298</v>
      </c>
      <c r="R454" s="165" t="s">
        <v>1766</v>
      </c>
      <c r="S454" s="151"/>
    </row>
    <row r="455" spans="1:19" ht="18" hidden="1" customHeight="1" x14ac:dyDescent="0.3">
      <c r="A455" s="76">
        <v>454</v>
      </c>
      <c r="B455" s="166" t="s">
        <v>250</v>
      </c>
      <c r="C455" s="175" t="s">
        <v>4</v>
      </c>
      <c r="D455" s="179" t="s">
        <v>154</v>
      </c>
      <c r="E455" s="80" t="s">
        <v>14</v>
      </c>
      <c r="F455" s="81"/>
      <c r="G455" s="82" t="s">
        <v>1767</v>
      </c>
      <c r="H455" s="83" t="s">
        <v>1768</v>
      </c>
      <c r="I455" s="84" t="s">
        <v>1769</v>
      </c>
      <c r="J455" s="85"/>
      <c r="K455" s="81"/>
      <c r="L455" s="81"/>
      <c r="M455" s="161" t="s">
        <v>257</v>
      </c>
      <c r="N455" s="87"/>
      <c r="O455" s="78"/>
      <c r="P455" s="88" t="s">
        <v>73</v>
      </c>
      <c r="Q455" s="89" t="s">
        <v>841</v>
      </c>
      <c r="R455" s="89" t="s">
        <v>1770</v>
      </c>
      <c r="S455" s="76"/>
    </row>
    <row r="456" spans="1:19" ht="18" hidden="1" customHeight="1" x14ac:dyDescent="0.3">
      <c r="A456" s="151">
        <v>455</v>
      </c>
      <c r="B456" s="152" t="s">
        <v>250</v>
      </c>
      <c r="C456" s="174" t="s">
        <v>4</v>
      </c>
      <c r="D456" s="178" t="s">
        <v>154</v>
      </c>
      <c r="E456" s="155" t="s">
        <v>14</v>
      </c>
      <c r="F456" s="156"/>
      <c r="G456" s="157" t="s">
        <v>1771</v>
      </c>
      <c r="H456" s="158" t="s">
        <v>1772</v>
      </c>
      <c r="I456" s="159" t="s">
        <v>1773</v>
      </c>
      <c r="J456" s="160"/>
      <c r="K456" s="156"/>
      <c r="L456" s="156"/>
      <c r="M456" s="161" t="s">
        <v>257</v>
      </c>
      <c r="N456" s="162"/>
      <c r="O456" s="163"/>
      <c r="P456" s="164" t="s">
        <v>73</v>
      </c>
      <c r="Q456" s="165" t="s">
        <v>298</v>
      </c>
      <c r="R456" s="165" t="s">
        <v>1774</v>
      </c>
      <c r="S456" s="151"/>
    </row>
    <row r="457" spans="1:19" ht="18" hidden="1" customHeight="1" x14ac:dyDescent="0.3">
      <c r="A457" s="76">
        <v>456</v>
      </c>
      <c r="B457" s="166" t="s">
        <v>250</v>
      </c>
      <c r="C457" s="175" t="s">
        <v>4</v>
      </c>
      <c r="D457" s="179" t="s">
        <v>154</v>
      </c>
      <c r="E457" s="80" t="s">
        <v>14</v>
      </c>
      <c r="F457" s="81"/>
      <c r="G457" s="82" t="s">
        <v>1775</v>
      </c>
      <c r="H457" s="83"/>
      <c r="I457" s="84" t="s">
        <v>1776</v>
      </c>
      <c r="J457" s="85"/>
      <c r="K457" s="81"/>
      <c r="L457" s="81"/>
      <c r="M457" s="161" t="s">
        <v>257</v>
      </c>
      <c r="N457" s="87"/>
      <c r="O457" s="78"/>
      <c r="P457" s="88" t="s">
        <v>73</v>
      </c>
      <c r="Q457" s="89" t="s">
        <v>298</v>
      </c>
      <c r="R457" s="89" t="s">
        <v>1777</v>
      </c>
      <c r="S457" s="76"/>
    </row>
    <row r="458" spans="1:19" ht="18" hidden="1" customHeight="1" x14ac:dyDescent="0.3">
      <c r="A458" s="151">
        <v>457</v>
      </c>
      <c r="B458" s="152" t="s">
        <v>250</v>
      </c>
      <c r="C458" s="174" t="s">
        <v>4</v>
      </c>
      <c r="D458" s="178" t="s">
        <v>154</v>
      </c>
      <c r="E458" s="155" t="s">
        <v>14</v>
      </c>
      <c r="F458" s="156"/>
      <c r="G458" s="157" t="s">
        <v>1778</v>
      </c>
      <c r="H458" s="158" t="s">
        <v>1779</v>
      </c>
      <c r="I458" s="159" t="s">
        <v>1780</v>
      </c>
      <c r="J458" s="160"/>
      <c r="K458" s="156"/>
      <c r="L458" s="156"/>
      <c r="M458" s="161" t="s">
        <v>257</v>
      </c>
      <c r="N458" s="162"/>
      <c r="O458" s="163"/>
      <c r="P458" s="164" t="s">
        <v>291</v>
      </c>
      <c r="Q458" s="165" t="s">
        <v>298</v>
      </c>
      <c r="R458" s="165" t="s">
        <v>1781</v>
      </c>
      <c r="S458" s="151"/>
    </row>
    <row r="459" spans="1:19" ht="18" hidden="1" customHeight="1" x14ac:dyDescent="0.3">
      <c r="A459" s="76">
        <v>458</v>
      </c>
      <c r="B459" s="166" t="s">
        <v>250</v>
      </c>
      <c r="C459" s="175" t="s">
        <v>4</v>
      </c>
      <c r="D459" s="179" t="s">
        <v>154</v>
      </c>
      <c r="E459" s="80" t="s">
        <v>14</v>
      </c>
      <c r="F459" s="81"/>
      <c r="G459" s="82" t="s">
        <v>1782</v>
      </c>
      <c r="H459" s="83" t="s">
        <v>1783</v>
      </c>
      <c r="I459" s="84" t="s">
        <v>1784</v>
      </c>
      <c r="J459" s="85"/>
      <c r="K459" s="81"/>
      <c r="L459" s="81"/>
      <c r="M459" s="161" t="s">
        <v>257</v>
      </c>
      <c r="N459" s="87"/>
      <c r="O459" s="78"/>
      <c r="P459" s="88" t="s">
        <v>393</v>
      </c>
      <c r="Q459" s="89" t="s">
        <v>298</v>
      </c>
      <c r="R459" s="89"/>
      <c r="S459" s="76"/>
    </row>
    <row r="460" spans="1:19" ht="18" hidden="1" customHeight="1" x14ac:dyDescent="0.3">
      <c r="A460" s="151">
        <v>459</v>
      </c>
      <c r="B460" s="152" t="s">
        <v>250</v>
      </c>
      <c r="C460" s="174" t="s">
        <v>4</v>
      </c>
      <c r="D460" s="178" t="s">
        <v>154</v>
      </c>
      <c r="E460" s="155" t="s">
        <v>14</v>
      </c>
      <c r="F460" s="156"/>
      <c r="G460" s="157" t="s">
        <v>1785</v>
      </c>
      <c r="H460" s="158"/>
      <c r="I460" s="159" t="s">
        <v>1786</v>
      </c>
      <c r="J460" s="160"/>
      <c r="K460" s="156"/>
      <c r="L460" s="156"/>
      <c r="M460" s="161" t="s">
        <v>257</v>
      </c>
      <c r="N460" s="162"/>
      <c r="O460" s="163"/>
      <c r="P460" s="164" t="s">
        <v>73</v>
      </c>
      <c r="Q460" s="165" t="s">
        <v>298</v>
      </c>
      <c r="R460" s="165"/>
      <c r="S460" s="151"/>
    </row>
    <row r="461" spans="1:19" ht="18" hidden="1" customHeight="1" x14ac:dyDescent="0.3">
      <c r="A461" s="76">
        <v>460</v>
      </c>
      <c r="B461" s="166" t="s">
        <v>250</v>
      </c>
      <c r="C461" s="175" t="s">
        <v>4</v>
      </c>
      <c r="D461" s="179" t="s">
        <v>154</v>
      </c>
      <c r="E461" s="80" t="s">
        <v>14</v>
      </c>
      <c r="F461" s="81"/>
      <c r="G461" s="82" t="s">
        <v>1787</v>
      </c>
      <c r="H461" s="83" t="s">
        <v>1788</v>
      </c>
      <c r="I461" s="84" t="s">
        <v>1789</v>
      </c>
      <c r="J461" s="85"/>
      <c r="K461" s="81"/>
      <c r="L461" s="81"/>
      <c r="M461" s="161" t="s">
        <v>257</v>
      </c>
      <c r="N461" s="87"/>
      <c r="O461" s="78"/>
      <c r="P461" s="88" t="s">
        <v>461</v>
      </c>
      <c r="Q461" s="89" t="s">
        <v>298</v>
      </c>
      <c r="R461" s="89" t="s">
        <v>1790</v>
      </c>
      <c r="S461" s="76"/>
    </row>
    <row r="462" spans="1:19" ht="18" hidden="1" customHeight="1" x14ac:dyDescent="0.3">
      <c r="A462" s="151">
        <v>461</v>
      </c>
      <c r="B462" s="152" t="s">
        <v>250</v>
      </c>
      <c r="C462" s="174" t="s">
        <v>4</v>
      </c>
      <c r="D462" s="178" t="s">
        <v>154</v>
      </c>
      <c r="E462" s="155" t="s">
        <v>14</v>
      </c>
      <c r="F462" s="156"/>
      <c r="G462" s="157" t="s">
        <v>1791</v>
      </c>
      <c r="H462" s="158"/>
      <c r="I462" s="159" t="s">
        <v>1792</v>
      </c>
      <c r="J462" s="160"/>
      <c r="K462" s="156"/>
      <c r="L462" s="156"/>
      <c r="M462" s="161" t="s">
        <v>257</v>
      </c>
      <c r="N462" s="162"/>
      <c r="O462" s="163"/>
      <c r="P462" s="164" t="s">
        <v>73</v>
      </c>
      <c r="Q462" s="165" t="s">
        <v>298</v>
      </c>
      <c r="R462" s="165" t="s">
        <v>1793</v>
      </c>
      <c r="S462" s="151"/>
    </row>
    <row r="463" spans="1:19" ht="18" hidden="1" customHeight="1" x14ac:dyDescent="0.3">
      <c r="A463" s="76">
        <v>462</v>
      </c>
      <c r="B463" s="166" t="s">
        <v>250</v>
      </c>
      <c r="C463" s="175" t="s">
        <v>4</v>
      </c>
      <c r="D463" s="179" t="s">
        <v>154</v>
      </c>
      <c r="E463" s="80" t="s">
        <v>14</v>
      </c>
      <c r="F463" s="81"/>
      <c r="G463" s="82" t="s">
        <v>1794</v>
      </c>
      <c r="H463" s="83" t="s">
        <v>1795</v>
      </c>
      <c r="I463" s="84"/>
      <c r="J463" s="85"/>
      <c r="K463" s="81"/>
      <c r="L463" s="81"/>
      <c r="M463" s="161" t="s">
        <v>257</v>
      </c>
      <c r="N463" s="87"/>
      <c r="O463" s="78"/>
      <c r="P463" s="88" t="s">
        <v>1796</v>
      </c>
      <c r="Q463" s="89" t="s">
        <v>298</v>
      </c>
      <c r="R463" s="89" t="s">
        <v>1797</v>
      </c>
      <c r="S463" s="76"/>
    </row>
    <row r="464" spans="1:19" ht="18" hidden="1" customHeight="1" x14ac:dyDescent="0.3">
      <c r="A464" s="151">
        <v>463</v>
      </c>
      <c r="B464" s="152" t="s">
        <v>250</v>
      </c>
      <c r="C464" s="174" t="s">
        <v>4</v>
      </c>
      <c r="D464" s="178" t="s">
        <v>154</v>
      </c>
      <c r="E464" s="155" t="s">
        <v>14</v>
      </c>
      <c r="F464" s="156"/>
      <c r="G464" s="157" t="s">
        <v>1798</v>
      </c>
      <c r="H464" s="158"/>
      <c r="I464" s="159" t="s">
        <v>1799</v>
      </c>
      <c r="J464" s="160"/>
      <c r="K464" s="156"/>
      <c r="L464" s="156"/>
      <c r="M464" s="161" t="s">
        <v>257</v>
      </c>
      <c r="N464" s="162"/>
      <c r="O464" s="163"/>
      <c r="P464" s="164" t="s">
        <v>457</v>
      </c>
      <c r="Q464" s="165" t="s">
        <v>298</v>
      </c>
      <c r="R464" s="165"/>
      <c r="S464" s="151"/>
    </row>
    <row r="465" spans="1:19" ht="18" hidden="1" customHeight="1" x14ac:dyDescent="0.3">
      <c r="A465" s="76">
        <v>464</v>
      </c>
      <c r="B465" s="166" t="s">
        <v>250</v>
      </c>
      <c r="C465" s="211" t="s">
        <v>20</v>
      </c>
      <c r="D465" s="179" t="s">
        <v>154</v>
      </c>
      <c r="E465" s="80" t="s">
        <v>13</v>
      </c>
      <c r="F465" s="81"/>
      <c r="G465" s="82" t="s">
        <v>1800</v>
      </c>
      <c r="H465" s="83" t="s">
        <v>1801</v>
      </c>
      <c r="I465" s="84"/>
      <c r="J465" s="85"/>
      <c r="K465" s="81"/>
      <c r="L465" s="81"/>
      <c r="M465" s="161" t="s">
        <v>257</v>
      </c>
      <c r="N465" s="87"/>
      <c r="O465" s="78" t="s">
        <v>53</v>
      </c>
      <c r="P465" s="88" t="s">
        <v>1802</v>
      </c>
      <c r="Q465" s="89" t="s">
        <v>323</v>
      </c>
      <c r="R465" s="89" t="s">
        <v>1803</v>
      </c>
      <c r="S465" s="76"/>
    </row>
    <row r="466" spans="1:19" ht="18" hidden="1" customHeight="1" x14ac:dyDescent="0.3">
      <c r="A466" s="151">
        <v>465</v>
      </c>
      <c r="B466" s="152" t="s">
        <v>250</v>
      </c>
      <c r="C466" s="212" t="s">
        <v>20</v>
      </c>
      <c r="D466" s="178" t="s">
        <v>154</v>
      </c>
      <c r="E466" s="155" t="s">
        <v>13</v>
      </c>
      <c r="F466" s="156"/>
      <c r="G466" s="157" t="s">
        <v>1804</v>
      </c>
      <c r="H466" s="158" t="s">
        <v>1805</v>
      </c>
      <c r="I466" s="159"/>
      <c r="J466" s="160"/>
      <c r="K466" s="156"/>
      <c r="L466" s="156"/>
      <c r="M466" s="161" t="s">
        <v>257</v>
      </c>
      <c r="N466" s="162"/>
      <c r="O466" s="163" t="s">
        <v>53</v>
      </c>
      <c r="P466" s="164" t="s">
        <v>54</v>
      </c>
      <c r="Q466" s="165" t="s">
        <v>264</v>
      </c>
      <c r="R466" s="165" t="s">
        <v>1806</v>
      </c>
      <c r="S466" s="151"/>
    </row>
    <row r="467" spans="1:19" ht="18" hidden="1" customHeight="1" x14ac:dyDescent="0.3">
      <c r="A467" s="76">
        <v>466</v>
      </c>
      <c r="B467" s="166" t="s">
        <v>250</v>
      </c>
      <c r="C467" s="211" t="s">
        <v>20</v>
      </c>
      <c r="D467" s="179" t="s">
        <v>154</v>
      </c>
      <c r="E467" s="80" t="s">
        <v>13</v>
      </c>
      <c r="F467" s="81"/>
      <c r="G467" s="82" t="s">
        <v>1807</v>
      </c>
      <c r="H467" s="83" t="s">
        <v>1808</v>
      </c>
      <c r="I467" s="84"/>
      <c r="J467" s="85"/>
      <c r="K467" s="81"/>
      <c r="L467" s="81"/>
      <c r="M467" s="161" t="s">
        <v>257</v>
      </c>
      <c r="N467" s="87"/>
      <c r="O467" s="78" t="s">
        <v>354</v>
      </c>
      <c r="P467" s="88" t="s">
        <v>1033</v>
      </c>
      <c r="Q467" s="89" t="s">
        <v>264</v>
      </c>
      <c r="R467" s="89" t="s">
        <v>1809</v>
      </c>
      <c r="S467" s="76"/>
    </row>
    <row r="468" spans="1:19" ht="18" hidden="1" customHeight="1" x14ac:dyDescent="0.3">
      <c r="A468" s="151">
        <v>467</v>
      </c>
      <c r="B468" s="152" t="s">
        <v>250</v>
      </c>
      <c r="C468" s="212" t="s">
        <v>20</v>
      </c>
      <c r="D468" s="178" t="s">
        <v>154</v>
      </c>
      <c r="E468" s="155" t="s">
        <v>13</v>
      </c>
      <c r="F468" s="156"/>
      <c r="G468" s="157" t="s">
        <v>1810</v>
      </c>
      <c r="H468" s="158" t="s">
        <v>1811</v>
      </c>
      <c r="I468" s="159"/>
      <c r="J468" s="160"/>
      <c r="K468" s="156"/>
      <c r="L468" s="156"/>
      <c r="M468" s="161" t="s">
        <v>257</v>
      </c>
      <c r="N468" s="162"/>
      <c r="O468" s="163" t="s">
        <v>53</v>
      </c>
      <c r="P468" s="164" t="s">
        <v>54</v>
      </c>
      <c r="Q468" s="165" t="s">
        <v>388</v>
      </c>
      <c r="R468" s="165" t="s">
        <v>1812</v>
      </c>
      <c r="S468" s="151"/>
    </row>
    <row r="469" spans="1:19" ht="18" hidden="1" customHeight="1" x14ac:dyDescent="0.3">
      <c r="A469" s="76">
        <v>468</v>
      </c>
      <c r="B469" s="166" t="s">
        <v>250</v>
      </c>
      <c r="C469" s="211" t="s">
        <v>20</v>
      </c>
      <c r="D469" s="179" t="s">
        <v>154</v>
      </c>
      <c r="E469" s="80" t="s">
        <v>13</v>
      </c>
      <c r="F469" s="81"/>
      <c r="G469" s="82" t="s">
        <v>1813</v>
      </c>
      <c r="H469" s="83" t="s">
        <v>1814</v>
      </c>
      <c r="I469" s="84"/>
      <c r="J469" s="85"/>
      <c r="K469" s="81"/>
      <c r="L469" s="81"/>
      <c r="M469" s="161" t="s">
        <v>257</v>
      </c>
      <c r="N469" s="87"/>
      <c r="O469" s="78" t="s">
        <v>354</v>
      </c>
      <c r="P469" s="88" t="s">
        <v>495</v>
      </c>
      <c r="Q469" s="89" t="s">
        <v>264</v>
      </c>
      <c r="R469" s="89" t="s">
        <v>1815</v>
      </c>
      <c r="S469" s="76"/>
    </row>
    <row r="470" spans="1:19" ht="18" hidden="1" customHeight="1" x14ac:dyDescent="0.3">
      <c r="A470" s="151">
        <v>469</v>
      </c>
      <c r="B470" s="152" t="s">
        <v>250</v>
      </c>
      <c r="C470" s="212" t="s">
        <v>20</v>
      </c>
      <c r="D470" s="178" t="s">
        <v>154</v>
      </c>
      <c r="E470" s="155" t="s">
        <v>13</v>
      </c>
      <c r="F470" s="156"/>
      <c r="G470" s="157" t="s">
        <v>1816</v>
      </c>
      <c r="H470" s="158" t="s">
        <v>1817</v>
      </c>
      <c r="I470" s="159"/>
      <c r="J470" s="160"/>
      <c r="K470" s="156"/>
      <c r="L470" s="156"/>
      <c r="M470" s="161" t="s">
        <v>257</v>
      </c>
      <c r="N470" s="162"/>
      <c r="O470" s="163" t="s">
        <v>53</v>
      </c>
      <c r="P470" s="164" t="s">
        <v>54</v>
      </c>
      <c r="Q470" s="165" t="s">
        <v>152</v>
      </c>
      <c r="R470" s="165" t="s">
        <v>1818</v>
      </c>
      <c r="S470" s="151"/>
    </row>
    <row r="471" spans="1:19" ht="18" hidden="1" customHeight="1" x14ac:dyDescent="0.3">
      <c r="A471" s="76">
        <v>470</v>
      </c>
      <c r="B471" s="166" t="s">
        <v>250</v>
      </c>
      <c r="C471" s="211" t="s">
        <v>20</v>
      </c>
      <c r="D471" s="179" t="s">
        <v>154</v>
      </c>
      <c r="E471" s="80" t="s">
        <v>13</v>
      </c>
      <c r="F471" s="81"/>
      <c r="G471" s="82" t="s">
        <v>1819</v>
      </c>
      <c r="H471" s="83" t="s">
        <v>1820</v>
      </c>
      <c r="I471" s="84"/>
      <c r="J471" s="85"/>
      <c r="K471" s="81"/>
      <c r="L471" s="81"/>
      <c r="M471" s="161" t="s">
        <v>257</v>
      </c>
      <c r="N471" s="87"/>
      <c r="O471" s="78" t="s">
        <v>53</v>
      </c>
      <c r="P471" s="88" t="s">
        <v>894</v>
      </c>
      <c r="Q471" s="89" t="s">
        <v>381</v>
      </c>
      <c r="R471" s="89" t="s">
        <v>1821</v>
      </c>
      <c r="S471" s="76"/>
    </row>
    <row r="472" spans="1:19" ht="18" hidden="1" customHeight="1" x14ac:dyDescent="0.3">
      <c r="A472" s="151">
        <v>471</v>
      </c>
      <c r="B472" s="152" t="s">
        <v>250</v>
      </c>
      <c r="C472" s="212" t="s">
        <v>20</v>
      </c>
      <c r="D472" s="178" t="s">
        <v>154</v>
      </c>
      <c r="E472" s="155" t="s">
        <v>13</v>
      </c>
      <c r="F472" s="156"/>
      <c r="G472" s="157" t="s">
        <v>1822</v>
      </c>
      <c r="H472" s="158" t="s">
        <v>1789</v>
      </c>
      <c r="I472" s="159"/>
      <c r="J472" s="160"/>
      <c r="K472" s="156"/>
      <c r="L472" s="156"/>
      <c r="M472" s="161" t="s">
        <v>257</v>
      </c>
      <c r="N472" s="162"/>
      <c r="O472" s="163" t="s">
        <v>290</v>
      </c>
      <c r="P472" s="164" t="s">
        <v>54</v>
      </c>
      <c r="Q472" s="165" t="s">
        <v>254</v>
      </c>
      <c r="R472" s="165" t="s">
        <v>1823</v>
      </c>
      <c r="S472" s="151"/>
    </row>
    <row r="473" spans="1:19" ht="18" hidden="1" customHeight="1" x14ac:dyDescent="0.3">
      <c r="A473" s="76">
        <v>472</v>
      </c>
      <c r="B473" s="166" t="s">
        <v>250</v>
      </c>
      <c r="C473" s="211" t="s">
        <v>20</v>
      </c>
      <c r="D473" s="179" t="s">
        <v>154</v>
      </c>
      <c r="E473" s="80" t="s">
        <v>13</v>
      </c>
      <c r="F473" s="81"/>
      <c r="G473" s="82" t="s">
        <v>1824</v>
      </c>
      <c r="H473" s="83" t="s">
        <v>1825</v>
      </c>
      <c r="I473" s="84"/>
      <c r="J473" s="85"/>
      <c r="K473" s="81"/>
      <c r="L473" s="81"/>
      <c r="M473" s="161" t="s">
        <v>257</v>
      </c>
      <c r="N473" s="87"/>
      <c r="O473" s="78" t="s">
        <v>53</v>
      </c>
      <c r="P473" s="88" t="s">
        <v>54</v>
      </c>
      <c r="Q473" s="89" t="s">
        <v>254</v>
      </c>
      <c r="R473" s="89" t="s">
        <v>1826</v>
      </c>
      <c r="S473" s="76"/>
    </row>
    <row r="474" spans="1:19" ht="18" hidden="1" customHeight="1" x14ac:dyDescent="0.3">
      <c r="A474" s="151">
        <v>473</v>
      </c>
      <c r="B474" s="152" t="s">
        <v>250</v>
      </c>
      <c r="C474" s="212" t="s">
        <v>20</v>
      </c>
      <c r="D474" s="178" t="s">
        <v>154</v>
      </c>
      <c r="E474" s="155" t="s">
        <v>13</v>
      </c>
      <c r="F474" s="156"/>
      <c r="G474" s="157" t="s">
        <v>1827</v>
      </c>
      <c r="H474" s="158" t="s">
        <v>1828</v>
      </c>
      <c r="I474" s="159"/>
      <c r="J474" s="160"/>
      <c r="K474" s="156"/>
      <c r="L474" s="156"/>
      <c r="M474" s="161" t="s">
        <v>257</v>
      </c>
      <c r="N474" s="162"/>
      <c r="O474" s="163" t="s">
        <v>53</v>
      </c>
      <c r="P474" s="164" t="s">
        <v>54</v>
      </c>
      <c r="Q474" s="165" t="s">
        <v>264</v>
      </c>
      <c r="R474" s="165" t="s">
        <v>1829</v>
      </c>
      <c r="S474" s="151"/>
    </row>
    <row r="475" spans="1:19" ht="18" hidden="1" customHeight="1" x14ac:dyDescent="0.3">
      <c r="A475" s="76">
        <v>474</v>
      </c>
      <c r="B475" s="166" t="s">
        <v>250</v>
      </c>
      <c r="C475" s="211" t="s">
        <v>20</v>
      </c>
      <c r="D475" s="179" t="s">
        <v>154</v>
      </c>
      <c r="E475" s="80" t="s">
        <v>13</v>
      </c>
      <c r="F475" s="81"/>
      <c r="G475" s="82" t="s">
        <v>1830</v>
      </c>
      <c r="H475" s="83" t="s">
        <v>1831</v>
      </c>
      <c r="I475" s="84"/>
      <c r="J475" s="85"/>
      <c r="K475" s="81"/>
      <c r="L475" s="81"/>
      <c r="M475" s="86" t="s">
        <v>40</v>
      </c>
      <c r="N475" s="87" t="s">
        <v>1832</v>
      </c>
      <c r="O475" s="78" t="s">
        <v>290</v>
      </c>
      <c r="P475" s="88" t="s">
        <v>54</v>
      </c>
      <c r="Q475" s="89" t="s">
        <v>388</v>
      </c>
      <c r="R475" s="89" t="s">
        <v>1833</v>
      </c>
      <c r="S475" s="76"/>
    </row>
    <row r="476" spans="1:19" ht="18" hidden="1" customHeight="1" x14ac:dyDescent="0.3">
      <c r="A476" s="151">
        <v>475</v>
      </c>
      <c r="B476" s="152" t="s">
        <v>250</v>
      </c>
      <c r="C476" s="212" t="s">
        <v>20</v>
      </c>
      <c r="D476" s="178" t="s">
        <v>154</v>
      </c>
      <c r="E476" s="155" t="s">
        <v>13</v>
      </c>
      <c r="F476" s="156"/>
      <c r="G476" s="157" t="s">
        <v>1834</v>
      </c>
      <c r="H476" s="158" t="s">
        <v>1835</v>
      </c>
      <c r="I476" s="159"/>
      <c r="J476" s="160"/>
      <c r="K476" s="156"/>
      <c r="L476" s="156"/>
      <c r="M476" s="161" t="s">
        <v>257</v>
      </c>
      <c r="N476" s="162"/>
      <c r="O476" s="163" t="s">
        <v>290</v>
      </c>
      <c r="P476" s="164" t="s">
        <v>54</v>
      </c>
      <c r="Q476" s="165" t="s">
        <v>258</v>
      </c>
      <c r="R476" s="165" t="s">
        <v>1836</v>
      </c>
      <c r="S476" s="151"/>
    </row>
    <row r="477" spans="1:19" ht="18" hidden="1" customHeight="1" x14ac:dyDescent="0.3">
      <c r="A477" s="76">
        <v>476</v>
      </c>
      <c r="B477" s="166" t="s">
        <v>250</v>
      </c>
      <c r="C477" s="211" t="s">
        <v>20</v>
      </c>
      <c r="D477" s="179" t="s">
        <v>154</v>
      </c>
      <c r="E477" s="80" t="s">
        <v>13</v>
      </c>
      <c r="F477" s="81"/>
      <c r="G477" s="82" t="s">
        <v>1837</v>
      </c>
      <c r="H477" s="83" t="s">
        <v>1838</v>
      </c>
      <c r="I477" s="84"/>
      <c r="J477" s="85"/>
      <c r="K477" s="81"/>
      <c r="L477" s="81"/>
      <c r="M477" s="161" t="s">
        <v>257</v>
      </c>
      <c r="N477" s="87"/>
      <c r="O477" s="78" t="s">
        <v>53</v>
      </c>
      <c r="P477" s="88" t="s">
        <v>54</v>
      </c>
      <c r="Q477" s="89" t="s">
        <v>323</v>
      </c>
      <c r="R477" s="89" t="s">
        <v>1839</v>
      </c>
      <c r="S477" s="76"/>
    </row>
    <row r="478" spans="1:19" ht="18" hidden="1" customHeight="1" x14ac:dyDescent="0.3">
      <c r="A478" s="151">
        <v>477</v>
      </c>
      <c r="B478" s="152" t="s">
        <v>250</v>
      </c>
      <c r="C478" s="212" t="s">
        <v>20</v>
      </c>
      <c r="D478" s="178" t="s">
        <v>154</v>
      </c>
      <c r="E478" s="155" t="s">
        <v>13</v>
      </c>
      <c r="F478" s="156"/>
      <c r="G478" s="157" t="s">
        <v>1840</v>
      </c>
      <c r="H478" s="158" t="s">
        <v>1841</v>
      </c>
      <c r="I478" s="159"/>
      <c r="J478" s="160"/>
      <c r="K478" s="156"/>
      <c r="L478" s="156"/>
      <c r="M478" s="161" t="s">
        <v>257</v>
      </c>
      <c r="N478" s="162"/>
      <c r="O478" s="163" t="s">
        <v>53</v>
      </c>
      <c r="P478" s="164" t="s">
        <v>393</v>
      </c>
      <c r="Q478" s="165" t="s">
        <v>254</v>
      </c>
      <c r="R478" s="165" t="s">
        <v>1091</v>
      </c>
      <c r="S478" s="151"/>
    </row>
    <row r="479" spans="1:19" ht="18" hidden="1" customHeight="1" x14ac:dyDescent="0.3">
      <c r="A479" s="76">
        <v>478</v>
      </c>
      <c r="B479" s="166" t="s">
        <v>250</v>
      </c>
      <c r="C479" s="175" t="s">
        <v>4</v>
      </c>
      <c r="D479" s="79" t="s">
        <v>206</v>
      </c>
      <c r="E479" s="80" t="s">
        <v>13</v>
      </c>
      <c r="F479" s="81"/>
      <c r="G479" s="82" t="s">
        <v>1842</v>
      </c>
      <c r="H479" s="83" t="s">
        <v>1843</v>
      </c>
      <c r="I479" s="84"/>
      <c r="J479" s="85" t="s">
        <v>186</v>
      </c>
      <c r="K479" s="81"/>
      <c r="L479" s="81"/>
      <c r="M479" s="161" t="s">
        <v>257</v>
      </c>
      <c r="N479" s="87"/>
      <c r="O479" s="78" t="s">
        <v>290</v>
      </c>
      <c r="P479" s="88" t="s">
        <v>54</v>
      </c>
      <c r="Q479" s="89" t="s">
        <v>597</v>
      </c>
      <c r="R479" s="89" t="s">
        <v>1844</v>
      </c>
      <c r="S479" s="76"/>
    </row>
    <row r="480" spans="1:19" ht="18" hidden="1" customHeight="1" x14ac:dyDescent="0.3">
      <c r="A480" s="151">
        <v>479</v>
      </c>
      <c r="B480" s="152" t="s">
        <v>250</v>
      </c>
      <c r="C480" s="174" t="s">
        <v>4</v>
      </c>
      <c r="D480" s="213" t="s">
        <v>206</v>
      </c>
      <c r="E480" s="155" t="s">
        <v>13</v>
      </c>
      <c r="F480" s="156"/>
      <c r="G480" s="157" t="s">
        <v>1845</v>
      </c>
      <c r="H480" s="158" t="s">
        <v>1846</v>
      </c>
      <c r="I480" s="159"/>
      <c r="J480" s="160" t="s">
        <v>186</v>
      </c>
      <c r="K480" s="156"/>
      <c r="L480" s="156"/>
      <c r="M480" s="161" t="s">
        <v>257</v>
      </c>
      <c r="N480" s="162"/>
      <c r="O480" s="163" t="s">
        <v>290</v>
      </c>
      <c r="P480" s="164" t="s">
        <v>1847</v>
      </c>
      <c r="Q480" s="165" t="s">
        <v>381</v>
      </c>
      <c r="R480" s="165" t="s">
        <v>1848</v>
      </c>
      <c r="S480" s="151"/>
    </row>
    <row r="481" spans="1:19" ht="18" hidden="1" customHeight="1" x14ac:dyDescent="0.3">
      <c r="A481" s="76">
        <v>480</v>
      </c>
      <c r="B481" s="166" t="s">
        <v>250</v>
      </c>
      <c r="C481" s="175" t="s">
        <v>4</v>
      </c>
      <c r="D481" s="79" t="s">
        <v>206</v>
      </c>
      <c r="E481" s="80" t="s">
        <v>13</v>
      </c>
      <c r="F481" s="81"/>
      <c r="G481" s="82" t="s">
        <v>1849</v>
      </c>
      <c r="H481" s="83" t="s">
        <v>1850</v>
      </c>
      <c r="I481" s="84"/>
      <c r="J481" s="85"/>
      <c r="K481" s="81"/>
      <c r="L481" s="81"/>
      <c r="M481" s="161" t="s">
        <v>257</v>
      </c>
      <c r="N481" s="87"/>
      <c r="O481" s="78" t="s">
        <v>290</v>
      </c>
      <c r="P481" s="88" t="s">
        <v>54</v>
      </c>
      <c r="Q481" s="89" t="s">
        <v>258</v>
      </c>
      <c r="R481" s="89" t="s">
        <v>1851</v>
      </c>
      <c r="S481" s="76"/>
    </row>
    <row r="482" spans="1:19" ht="18" hidden="1" customHeight="1" x14ac:dyDescent="0.3">
      <c r="A482" s="151">
        <v>481</v>
      </c>
      <c r="B482" s="152" t="s">
        <v>250</v>
      </c>
      <c r="C482" s="174" t="s">
        <v>4</v>
      </c>
      <c r="D482" s="213" t="s">
        <v>206</v>
      </c>
      <c r="E482" s="155" t="s">
        <v>13</v>
      </c>
      <c r="F482" s="156"/>
      <c r="G482" s="157" t="s">
        <v>1852</v>
      </c>
      <c r="H482" s="158" t="s">
        <v>1853</v>
      </c>
      <c r="I482" s="159"/>
      <c r="J482" s="160" t="s">
        <v>186</v>
      </c>
      <c r="K482" s="156"/>
      <c r="L482" s="156"/>
      <c r="M482" s="161" t="s">
        <v>257</v>
      </c>
      <c r="N482" s="162"/>
      <c r="O482" s="163" t="s">
        <v>290</v>
      </c>
      <c r="P482" s="164" t="s">
        <v>54</v>
      </c>
      <c r="Q482" s="165" t="s">
        <v>264</v>
      </c>
      <c r="R482" s="165" t="s">
        <v>1854</v>
      </c>
      <c r="S482" s="151"/>
    </row>
    <row r="483" spans="1:19" ht="18" hidden="1" customHeight="1" x14ac:dyDescent="0.3">
      <c r="A483" s="76">
        <v>482</v>
      </c>
      <c r="B483" s="166" t="s">
        <v>250</v>
      </c>
      <c r="C483" s="175" t="s">
        <v>4</v>
      </c>
      <c r="D483" s="79" t="s">
        <v>206</v>
      </c>
      <c r="E483" s="80" t="s">
        <v>13</v>
      </c>
      <c r="F483" s="173" t="s">
        <v>80</v>
      </c>
      <c r="G483" s="82" t="s">
        <v>1855</v>
      </c>
      <c r="H483" s="83" t="s">
        <v>1856</v>
      </c>
      <c r="I483" s="84"/>
      <c r="J483" s="85"/>
      <c r="K483" s="81"/>
      <c r="L483" s="81"/>
      <c r="M483" s="86" t="s">
        <v>40</v>
      </c>
      <c r="N483" s="87" t="s">
        <v>1857</v>
      </c>
      <c r="O483" s="78" t="s">
        <v>290</v>
      </c>
      <c r="P483" s="88" t="s">
        <v>333</v>
      </c>
      <c r="Q483" s="89" t="s">
        <v>254</v>
      </c>
      <c r="R483" s="89" t="s">
        <v>1858</v>
      </c>
      <c r="S483" s="76"/>
    </row>
    <row r="484" spans="1:19" ht="18" hidden="1" customHeight="1" x14ac:dyDescent="0.3">
      <c r="A484" s="151">
        <v>483</v>
      </c>
      <c r="B484" s="152" t="s">
        <v>250</v>
      </c>
      <c r="C484" s="174" t="s">
        <v>4</v>
      </c>
      <c r="D484" s="213" t="s">
        <v>206</v>
      </c>
      <c r="E484" s="155" t="s">
        <v>14</v>
      </c>
      <c r="F484" s="156"/>
      <c r="G484" s="157" t="s">
        <v>1859</v>
      </c>
      <c r="H484" s="158" t="s">
        <v>1860</v>
      </c>
      <c r="I484" s="159"/>
      <c r="J484" s="160"/>
      <c r="K484" s="156"/>
      <c r="L484" s="156"/>
      <c r="M484" s="171" t="s">
        <v>257</v>
      </c>
      <c r="N484" s="162"/>
      <c r="O484" s="163"/>
      <c r="P484" s="164" t="s">
        <v>54</v>
      </c>
      <c r="Q484" s="165" t="s">
        <v>298</v>
      </c>
      <c r="R484" s="165" t="s">
        <v>1861</v>
      </c>
      <c r="S484" s="151"/>
    </row>
    <row r="485" spans="1:19" ht="18" hidden="1" customHeight="1" x14ac:dyDescent="0.3">
      <c r="A485" s="76">
        <v>484</v>
      </c>
      <c r="B485" s="166" t="s">
        <v>250</v>
      </c>
      <c r="C485" s="175" t="s">
        <v>4</v>
      </c>
      <c r="D485" s="79" t="s">
        <v>206</v>
      </c>
      <c r="E485" s="80" t="s">
        <v>14</v>
      </c>
      <c r="F485" s="81"/>
      <c r="G485" s="82" t="s">
        <v>1862</v>
      </c>
      <c r="H485" s="83" t="s">
        <v>1863</v>
      </c>
      <c r="I485" s="84"/>
      <c r="J485" s="85"/>
      <c r="K485" s="81"/>
      <c r="L485" s="81"/>
      <c r="M485" s="171" t="s">
        <v>257</v>
      </c>
      <c r="N485" s="87"/>
      <c r="O485" s="78"/>
      <c r="P485" s="88" t="s">
        <v>329</v>
      </c>
      <c r="Q485" s="89" t="s">
        <v>298</v>
      </c>
      <c r="R485" s="89" t="s">
        <v>1864</v>
      </c>
      <c r="S485" s="76"/>
    </row>
    <row r="486" spans="1:19" ht="18" hidden="1" customHeight="1" x14ac:dyDescent="0.3">
      <c r="A486" s="151">
        <v>485</v>
      </c>
      <c r="B486" s="152" t="s">
        <v>250</v>
      </c>
      <c r="C486" s="174" t="s">
        <v>4</v>
      </c>
      <c r="D486" s="213" t="s">
        <v>206</v>
      </c>
      <c r="E486" s="155" t="s">
        <v>14</v>
      </c>
      <c r="F486" s="156"/>
      <c r="G486" s="157" t="s">
        <v>1865</v>
      </c>
      <c r="H486" s="158" t="s">
        <v>1866</v>
      </c>
      <c r="I486" s="159"/>
      <c r="J486" s="160"/>
      <c r="K486" s="156"/>
      <c r="L486" s="156"/>
      <c r="M486" s="171" t="s">
        <v>257</v>
      </c>
      <c r="N486" s="162"/>
      <c r="O486" s="163"/>
      <c r="P486" s="164" t="s">
        <v>1867</v>
      </c>
      <c r="Q486" s="165" t="s">
        <v>298</v>
      </c>
      <c r="R486" s="165" t="s">
        <v>1868</v>
      </c>
      <c r="S486" s="151"/>
    </row>
    <row r="487" spans="1:19" ht="18" hidden="1" customHeight="1" x14ac:dyDescent="0.3">
      <c r="A487" s="76">
        <v>486</v>
      </c>
      <c r="B487" s="166" t="s">
        <v>250</v>
      </c>
      <c r="C487" s="175" t="s">
        <v>4</v>
      </c>
      <c r="D487" s="79" t="s">
        <v>206</v>
      </c>
      <c r="E487" s="80" t="s">
        <v>14</v>
      </c>
      <c r="F487" s="81"/>
      <c r="G487" s="82" t="s">
        <v>1869</v>
      </c>
      <c r="H487" s="83" t="s">
        <v>1870</v>
      </c>
      <c r="I487" s="84"/>
      <c r="J487" s="85"/>
      <c r="K487" s="81"/>
      <c r="L487" s="81"/>
      <c r="M487" s="171" t="s">
        <v>257</v>
      </c>
      <c r="N487" s="87"/>
      <c r="O487" s="78"/>
      <c r="P487" s="88" t="s">
        <v>525</v>
      </c>
      <c r="Q487" s="89" t="s">
        <v>298</v>
      </c>
      <c r="R487" s="89" t="s">
        <v>1871</v>
      </c>
      <c r="S487" s="76"/>
    </row>
    <row r="488" spans="1:19" ht="18" hidden="1" customHeight="1" x14ac:dyDescent="0.3">
      <c r="A488" s="151">
        <v>487</v>
      </c>
      <c r="B488" s="152" t="s">
        <v>250</v>
      </c>
      <c r="C488" s="174" t="s">
        <v>4</v>
      </c>
      <c r="D488" s="213" t="s">
        <v>206</v>
      </c>
      <c r="E488" s="155" t="s">
        <v>14</v>
      </c>
      <c r="F488" s="156"/>
      <c r="G488" s="157" t="s">
        <v>1872</v>
      </c>
      <c r="H488" s="158" t="s">
        <v>1873</v>
      </c>
      <c r="I488" s="159"/>
      <c r="J488" s="160"/>
      <c r="K488" s="156"/>
      <c r="L488" s="156"/>
      <c r="M488" s="171" t="s">
        <v>257</v>
      </c>
      <c r="N488" s="162"/>
      <c r="O488" s="163"/>
      <c r="P488" s="164" t="s">
        <v>546</v>
      </c>
      <c r="Q488" s="165" t="s">
        <v>298</v>
      </c>
      <c r="R488" s="165" t="s">
        <v>1874</v>
      </c>
      <c r="S488" s="151"/>
    </row>
    <row r="489" spans="1:19" ht="18" hidden="1" customHeight="1" x14ac:dyDescent="0.3">
      <c r="A489" s="76">
        <v>488</v>
      </c>
      <c r="B489" s="166" t="s">
        <v>250</v>
      </c>
      <c r="C489" s="175" t="s">
        <v>4</v>
      </c>
      <c r="D489" s="79" t="s">
        <v>206</v>
      </c>
      <c r="E489" s="80" t="s">
        <v>14</v>
      </c>
      <c r="F489" s="81"/>
      <c r="G489" s="82" t="s">
        <v>1875</v>
      </c>
      <c r="H489" s="83" t="s">
        <v>684</v>
      </c>
      <c r="I489" s="84"/>
      <c r="J489" s="85"/>
      <c r="K489" s="81"/>
      <c r="L489" s="81"/>
      <c r="M489" s="86" t="s">
        <v>40</v>
      </c>
      <c r="N489" s="87" t="s">
        <v>1876</v>
      </c>
      <c r="O489" s="78"/>
      <c r="P489" s="88" t="s">
        <v>54</v>
      </c>
      <c r="Q489" s="89" t="s">
        <v>292</v>
      </c>
      <c r="R489" s="89" t="s">
        <v>1877</v>
      </c>
      <c r="S489" s="76"/>
    </row>
    <row r="490" spans="1:19" ht="18" hidden="1" customHeight="1" x14ac:dyDescent="0.3">
      <c r="A490" s="151">
        <v>489</v>
      </c>
      <c r="B490" s="152" t="s">
        <v>250</v>
      </c>
      <c r="C490" s="174" t="s">
        <v>4</v>
      </c>
      <c r="D490" s="213" t="s">
        <v>206</v>
      </c>
      <c r="E490" s="155" t="s">
        <v>14</v>
      </c>
      <c r="F490" s="156"/>
      <c r="G490" s="157" t="s">
        <v>1878</v>
      </c>
      <c r="H490" s="158" t="s">
        <v>1879</v>
      </c>
      <c r="I490" s="159"/>
      <c r="J490" s="160"/>
      <c r="K490" s="156"/>
      <c r="L490" s="156"/>
      <c r="M490" s="171" t="s">
        <v>257</v>
      </c>
      <c r="N490" s="162"/>
      <c r="O490" s="163"/>
      <c r="P490" s="164" t="s">
        <v>54</v>
      </c>
      <c r="Q490" s="165" t="s">
        <v>298</v>
      </c>
      <c r="R490" s="165" t="s">
        <v>1880</v>
      </c>
      <c r="S490" s="151"/>
    </row>
    <row r="491" spans="1:19" ht="18" hidden="1" customHeight="1" x14ac:dyDescent="0.3">
      <c r="A491" s="76">
        <v>490</v>
      </c>
      <c r="B491" s="166" t="s">
        <v>250</v>
      </c>
      <c r="C491" s="175" t="s">
        <v>4</v>
      </c>
      <c r="D491" s="79" t="s">
        <v>206</v>
      </c>
      <c r="E491" s="80" t="s">
        <v>14</v>
      </c>
      <c r="F491" s="81"/>
      <c r="G491" s="82" t="s">
        <v>1881</v>
      </c>
      <c r="H491" s="83" t="s">
        <v>1882</v>
      </c>
      <c r="I491" s="84"/>
      <c r="J491" s="85"/>
      <c r="K491" s="81"/>
      <c r="L491" s="81"/>
      <c r="M491" s="86" t="s">
        <v>257</v>
      </c>
      <c r="N491" s="87"/>
      <c r="O491" s="78"/>
      <c r="P491" s="88" t="s">
        <v>54</v>
      </c>
      <c r="Q491" s="89" t="s">
        <v>298</v>
      </c>
      <c r="R491" s="89" t="s">
        <v>1883</v>
      </c>
      <c r="S491" s="76"/>
    </row>
    <row r="492" spans="1:19" ht="18" hidden="1" customHeight="1" x14ac:dyDescent="0.3">
      <c r="A492" s="151">
        <v>491</v>
      </c>
      <c r="B492" s="152" t="s">
        <v>250</v>
      </c>
      <c r="C492" s="174" t="s">
        <v>4</v>
      </c>
      <c r="D492" s="213" t="s">
        <v>206</v>
      </c>
      <c r="E492" s="155" t="s">
        <v>14</v>
      </c>
      <c r="F492" s="156"/>
      <c r="G492" s="157" t="s">
        <v>1884</v>
      </c>
      <c r="H492" s="158" t="s">
        <v>1885</v>
      </c>
      <c r="I492" s="159"/>
      <c r="J492" s="160" t="s">
        <v>51</v>
      </c>
      <c r="K492" s="156"/>
      <c r="L492" s="156"/>
      <c r="M492" s="171" t="s">
        <v>40</v>
      </c>
      <c r="N492" s="162" t="s">
        <v>1886</v>
      </c>
      <c r="O492" s="163"/>
      <c r="P492" s="164" t="s">
        <v>291</v>
      </c>
      <c r="Q492" s="165" t="s">
        <v>60</v>
      </c>
      <c r="R492" s="165" t="s">
        <v>1887</v>
      </c>
      <c r="S492" s="151"/>
    </row>
    <row r="493" spans="1:19" ht="18" hidden="1" customHeight="1" x14ac:dyDescent="0.3">
      <c r="A493" s="76">
        <v>492</v>
      </c>
      <c r="B493" s="166" t="s">
        <v>250</v>
      </c>
      <c r="C493" s="175" t="s">
        <v>4</v>
      </c>
      <c r="D493" s="79" t="s">
        <v>206</v>
      </c>
      <c r="E493" s="80" t="s">
        <v>14</v>
      </c>
      <c r="F493" s="81"/>
      <c r="G493" s="82" t="s">
        <v>1888</v>
      </c>
      <c r="H493" s="83" t="s">
        <v>1889</v>
      </c>
      <c r="I493" s="84"/>
      <c r="J493" s="85"/>
      <c r="K493" s="81"/>
      <c r="L493" s="81"/>
      <c r="M493" s="86" t="s">
        <v>257</v>
      </c>
      <c r="N493" s="87"/>
      <c r="O493" s="78"/>
      <c r="P493" s="88" t="s">
        <v>518</v>
      </c>
      <c r="Q493" s="89" t="s">
        <v>55</v>
      </c>
      <c r="R493" s="89" t="s">
        <v>1890</v>
      </c>
      <c r="S493" s="76"/>
    </row>
    <row r="494" spans="1:19" ht="18" hidden="1" customHeight="1" x14ac:dyDescent="0.3">
      <c r="A494" s="151">
        <v>493</v>
      </c>
      <c r="B494" s="152" t="s">
        <v>250</v>
      </c>
      <c r="C494" s="174" t="s">
        <v>4</v>
      </c>
      <c r="D494" s="213" t="s">
        <v>206</v>
      </c>
      <c r="E494" s="155" t="s">
        <v>14</v>
      </c>
      <c r="F494" s="156"/>
      <c r="G494" s="157" t="s">
        <v>1891</v>
      </c>
      <c r="H494" s="158" t="s">
        <v>1892</v>
      </c>
      <c r="I494" s="159"/>
      <c r="J494" s="160"/>
      <c r="K494" s="156"/>
      <c r="L494" s="156"/>
      <c r="M494" s="86" t="s">
        <v>257</v>
      </c>
      <c r="N494" s="162"/>
      <c r="O494" s="163"/>
      <c r="P494" s="164" t="s">
        <v>54</v>
      </c>
      <c r="Q494" s="165" t="s">
        <v>210</v>
      </c>
      <c r="R494" s="165" t="s">
        <v>1893</v>
      </c>
      <c r="S494" s="151"/>
    </row>
    <row r="495" spans="1:19" ht="18" hidden="1" customHeight="1" x14ac:dyDescent="0.3">
      <c r="A495" s="76">
        <v>494</v>
      </c>
      <c r="B495" s="166" t="s">
        <v>250</v>
      </c>
      <c r="C495" s="175" t="s">
        <v>4</v>
      </c>
      <c r="D495" s="79" t="s">
        <v>206</v>
      </c>
      <c r="E495" s="80" t="s">
        <v>14</v>
      </c>
      <c r="F495" s="81"/>
      <c r="G495" s="82" t="s">
        <v>1894</v>
      </c>
      <c r="H495" s="83" t="s">
        <v>1895</v>
      </c>
      <c r="I495" s="84"/>
      <c r="J495" s="85"/>
      <c r="K495" s="81"/>
      <c r="L495" s="81"/>
      <c r="M495" s="86" t="s">
        <v>257</v>
      </c>
      <c r="N495" s="87"/>
      <c r="O495" s="78"/>
      <c r="P495" s="88" t="s">
        <v>54</v>
      </c>
      <c r="Q495" s="89" t="s">
        <v>292</v>
      </c>
      <c r="R495" s="89" t="s">
        <v>1896</v>
      </c>
      <c r="S495" s="76"/>
    </row>
    <row r="496" spans="1:19" ht="18" hidden="1" customHeight="1" x14ac:dyDescent="0.3">
      <c r="A496" s="151">
        <v>495</v>
      </c>
      <c r="B496" s="152" t="s">
        <v>250</v>
      </c>
      <c r="C496" s="174" t="s">
        <v>4</v>
      </c>
      <c r="D496" s="213" t="s">
        <v>206</v>
      </c>
      <c r="E496" s="155" t="s">
        <v>14</v>
      </c>
      <c r="F496" s="156"/>
      <c r="G496" s="157" t="s">
        <v>1897</v>
      </c>
      <c r="H496" s="158" t="s">
        <v>1898</v>
      </c>
      <c r="I496" s="159"/>
      <c r="J496" s="160"/>
      <c r="K496" s="156"/>
      <c r="L496" s="156"/>
      <c r="M496" s="86" t="s">
        <v>257</v>
      </c>
      <c r="N496" s="162"/>
      <c r="O496" s="163"/>
      <c r="P496" s="164" t="s">
        <v>54</v>
      </c>
      <c r="Q496" s="165" t="s">
        <v>345</v>
      </c>
      <c r="R496" s="165" t="s">
        <v>1899</v>
      </c>
      <c r="S496" s="151"/>
    </row>
    <row r="497" spans="1:19" ht="18" hidden="1" customHeight="1" x14ac:dyDescent="0.3">
      <c r="A497" s="76">
        <v>496</v>
      </c>
      <c r="B497" s="166" t="s">
        <v>250</v>
      </c>
      <c r="C497" s="175" t="s">
        <v>4</v>
      </c>
      <c r="D497" s="79" t="s">
        <v>206</v>
      </c>
      <c r="E497" s="80" t="s">
        <v>14</v>
      </c>
      <c r="F497" s="81"/>
      <c r="G497" s="82" t="s">
        <v>1900</v>
      </c>
      <c r="H497" s="83" t="s">
        <v>1901</v>
      </c>
      <c r="I497" s="84"/>
      <c r="J497" s="85"/>
      <c r="K497" s="81"/>
      <c r="L497" s="81"/>
      <c r="M497" s="86" t="s">
        <v>257</v>
      </c>
      <c r="N497" s="87"/>
      <c r="O497" s="78"/>
      <c r="P497" s="88" t="s">
        <v>1340</v>
      </c>
      <c r="Q497" s="89" t="s">
        <v>816</v>
      </c>
      <c r="R497" s="89" t="s">
        <v>1902</v>
      </c>
      <c r="S497" s="76"/>
    </row>
    <row r="498" spans="1:19" ht="18" hidden="1" customHeight="1" x14ac:dyDescent="0.3">
      <c r="A498" s="151">
        <v>497</v>
      </c>
      <c r="B498" s="152" t="s">
        <v>250</v>
      </c>
      <c r="C498" s="174" t="s">
        <v>4</v>
      </c>
      <c r="D498" s="213" t="s">
        <v>206</v>
      </c>
      <c r="E498" s="155" t="s">
        <v>14</v>
      </c>
      <c r="F498" s="156"/>
      <c r="G498" s="157" t="s">
        <v>1903</v>
      </c>
      <c r="H498" s="158" t="s">
        <v>1904</v>
      </c>
      <c r="I498" s="159"/>
      <c r="J498" s="160"/>
      <c r="K498" s="156"/>
      <c r="L498" s="156"/>
      <c r="M498" s="86" t="s">
        <v>257</v>
      </c>
      <c r="N498" s="162"/>
      <c r="O498" s="163"/>
      <c r="P498" s="164" t="s">
        <v>340</v>
      </c>
      <c r="Q498" s="165" t="s">
        <v>438</v>
      </c>
      <c r="R498" s="165" t="s">
        <v>1905</v>
      </c>
      <c r="S498" s="151"/>
    </row>
    <row r="499" spans="1:19" ht="18" hidden="1" customHeight="1" x14ac:dyDescent="0.3">
      <c r="A499" s="76">
        <v>498</v>
      </c>
      <c r="B499" s="166" t="s">
        <v>250</v>
      </c>
      <c r="C499" s="175" t="s">
        <v>4</v>
      </c>
      <c r="D499" s="79" t="s">
        <v>206</v>
      </c>
      <c r="E499" s="80" t="s">
        <v>14</v>
      </c>
      <c r="F499" s="81"/>
      <c r="G499" s="82" t="s">
        <v>1906</v>
      </c>
      <c r="H499" s="83" t="s">
        <v>1907</v>
      </c>
      <c r="I499" s="84"/>
      <c r="J499" s="85"/>
      <c r="K499" s="81"/>
      <c r="L499" s="81"/>
      <c r="M499" s="86" t="s">
        <v>257</v>
      </c>
      <c r="N499" s="87"/>
      <c r="O499" s="78"/>
      <c r="P499" s="88" t="s">
        <v>1908</v>
      </c>
      <c r="Q499" s="89" t="s">
        <v>1909</v>
      </c>
      <c r="R499" s="89" t="s">
        <v>1910</v>
      </c>
      <c r="S499" s="76"/>
    </row>
    <row r="500" spans="1:19" ht="18" hidden="1" customHeight="1" x14ac:dyDescent="0.3">
      <c r="A500" s="151">
        <v>499</v>
      </c>
      <c r="B500" s="152" t="s">
        <v>250</v>
      </c>
      <c r="C500" s="174" t="s">
        <v>4</v>
      </c>
      <c r="D500" s="213" t="s">
        <v>206</v>
      </c>
      <c r="E500" s="155" t="s">
        <v>14</v>
      </c>
      <c r="F500" s="156"/>
      <c r="G500" s="157" t="s">
        <v>1911</v>
      </c>
      <c r="H500" s="158" t="s">
        <v>1912</v>
      </c>
      <c r="I500" s="159"/>
      <c r="J500" s="160"/>
      <c r="K500" s="156"/>
      <c r="L500" s="156"/>
      <c r="M500" s="86" t="s">
        <v>257</v>
      </c>
      <c r="N500" s="162"/>
      <c r="O500" s="163"/>
      <c r="P500" s="164" t="s">
        <v>1913</v>
      </c>
      <c r="Q500" s="165" t="s">
        <v>292</v>
      </c>
      <c r="R500" s="165" t="s">
        <v>1914</v>
      </c>
      <c r="S500" s="151"/>
    </row>
    <row r="501" spans="1:19" ht="18" hidden="1" customHeight="1" x14ac:dyDescent="0.3">
      <c r="A501" s="76">
        <v>500</v>
      </c>
      <c r="B501" s="166" t="s">
        <v>250</v>
      </c>
      <c r="C501" s="175" t="s">
        <v>4</v>
      </c>
      <c r="D501" s="79" t="s">
        <v>206</v>
      </c>
      <c r="E501" s="80" t="s">
        <v>14</v>
      </c>
      <c r="F501" s="81"/>
      <c r="G501" s="82" t="s">
        <v>1915</v>
      </c>
      <c r="H501" s="83" t="s">
        <v>1916</v>
      </c>
      <c r="I501" s="84"/>
      <c r="J501" s="85"/>
      <c r="K501" s="81"/>
      <c r="L501" s="81"/>
      <c r="M501" s="86" t="s">
        <v>257</v>
      </c>
      <c r="N501" s="87"/>
      <c r="O501" s="78"/>
      <c r="P501" s="88" t="s">
        <v>54</v>
      </c>
      <c r="Q501" s="89" t="s">
        <v>345</v>
      </c>
      <c r="R501" s="89" t="s">
        <v>1917</v>
      </c>
      <c r="S501" s="76"/>
    </row>
    <row r="502" spans="1:19" ht="18" hidden="1" customHeight="1" x14ac:dyDescent="0.3">
      <c r="A502" s="151">
        <v>501</v>
      </c>
      <c r="B502" s="152" t="s">
        <v>250</v>
      </c>
      <c r="C502" s="174" t="s">
        <v>4</v>
      </c>
      <c r="D502" s="213" t="s">
        <v>206</v>
      </c>
      <c r="E502" s="155" t="s">
        <v>14</v>
      </c>
      <c r="F502" s="156"/>
      <c r="G502" s="157" t="s">
        <v>1918</v>
      </c>
      <c r="H502" s="158" t="s">
        <v>1919</v>
      </c>
      <c r="I502" s="159"/>
      <c r="J502" s="160"/>
      <c r="K502" s="156"/>
      <c r="L502" s="156"/>
      <c r="M502" s="86" t="s">
        <v>257</v>
      </c>
      <c r="N502" s="162"/>
      <c r="O502" s="163"/>
      <c r="P502" s="164" t="s">
        <v>1920</v>
      </c>
      <c r="Q502" s="165" t="s">
        <v>292</v>
      </c>
      <c r="R502" s="165" t="s">
        <v>1921</v>
      </c>
      <c r="S502" s="151"/>
    </row>
    <row r="503" spans="1:19" ht="18" hidden="1" customHeight="1" x14ac:dyDescent="0.3">
      <c r="A503" s="76">
        <v>502</v>
      </c>
      <c r="B503" s="166" t="s">
        <v>250</v>
      </c>
      <c r="C503" s="175" t="s">
        <v>4</v>
      </c>
      <c r="D503" s="79" t="s">
        <v>206</v>
      </c>
      <c r="E503" s="80" t="s">
        <v>14</v>
      </c>
      <c r="F503" s="81"/>
      <c r="G503" s="82" t="s">
        <v>1922</v>
      </c>
      <c r="H503" s="83" t="s">
        <v>1923</v>
      </c>
      <c r="I503" s="84"/>
      <c r="J503" s="85"/>
      <c r="K503" s="81"/>
      <c r="L503" s="81"/>
      <c r="M503" s="86" t="s">
        <v>257</v>
      </c>
      <c r="N503" s="87"/>
      <c r="O503" s="78"/>
      <c r="P503" s="88" t="s">
        <v>54</v>
      </c>
      <c r="Q503" s="89" t="s">
        <v>292</v>
      </c>
      <c r="R503" s="89" t="s">
        <v>1924</v>
      </c>
      <c r="S503" s="76"/>
    </row>
    <row r="504" spans="1:19" ht="18" hidden="1" customHeight="1" x14ac:dyDescent="0.3">
      <c r="A504" s="151">
        <v>503</v>
      </c>
      <c r="B504" s="152" t="s">
        <v>250</v>
      </c>
      <c r="C504" s="174" t="s">
        <v>4</v>
      </c>
      <c r="D504" s="213" t="s">
        <v>206</v>
      </c>
      <c r="E504" s="155" t="s">
        <v>14</v>
      </c>
      <c r="F504" s="156"/>
      <c r="G504" s="157" t="s">
        <v>1925</v>
      </c>
      <c r="H504" s="158" t="s">
        <v>1926</v>
      </c>
      <c r="I504" s="159"/>
      <c r="J504" s="160"/>
      <c r="K504" s="156"/>
      <c r="L504" s="156"/>
      <c r="M504" s="86" t="s">
        <v>257</v>
      </c>
      <c r="N504" s="162"/>
      <c r="O504" s="163"/>
      <c r="P504" s="164" t="s">
        <v>461</v>
      </c>
      <c r="Q504" s="165" t="s">
        <v>292</v>
      </c>
      <c r="R504" s="165" t="s">
        <v>1927</v>
      </c>
      <c r="S504" s="151"/>
    </row>
    <row r="505" spans="1:19" ht="18" hidden="1" customHeight="1" x14ac:dyDescent="0.3">
      <c r="A505" s="76">
        <v>504</v>
      </c>
      <c r="B505" s="166" t="s">
        <v>250</v>
      </c>
      <c r="C505" s="175" t="s">
        <v>4</v>
      </c>
      <c r="D505" s="79" t="s">
        <v>206</v>
      </c>
      <c r="E505" s="80" t="s">
        <v>14</v>
      </c>
      <c r="F505" s="81"/>
      <c r="G505" s="82" t="s">
        <v>1928</v>
      </c>
      <c r="H505" s="83" t="s">
        <v>1929</v>
      </c>
      <c r="I505" s="84"/>
      <c r="J505" s="85"/>
      <c r="K505" s="81"/>
      <c r="L505" s="81"/>
      <c r="M505" s="86" t="s">
        <v>257</v>
      </c>
      <c r="N505" s="87"/>
      <c r="O505" s="78"/>
      <c r="P505" s="88" t="s">
        <v>393</v>
      </c>
      <c r="Q505" s="89" t="s">
        <v>298</v>
      </c>
      <c r="R505" s="89" t="s">
        <v>1930</v>
      </c>
      <c r="S505" s="76"/>
    </row>
    <row r="506" spans="1:19" ht="18" hidden="1" customHeight="1" x14ac:dyDescent="0.3">
      <c r="A506" s="151">
        <v>505</v>
      </c>
      <c r="B506" s="152" t="s">
        <v>250</v>
      </c>
      <c r="C506" s="174" t="s">
        <v>4</v>
      </c>
      <c r="D506" s="213" t="s">
        <v>206</v>
      </c>
      <c r="E506" s="155" t="s">
        <v>14</v>
      </c>
      <c r="F506" s="156"/>
      <c r="G506" s="157" t="s">
        <v>1931</v>
      </c>
      <c r="H506" s="158" t="s">
        <v>1932</v>
      </c>
      <c r="I506" s="159"/>
      <c r="J506" s="160"/>
      <c r="K506" s="156"/>
      <c r="L506" s="156"/>
      <c r="M506" s="86" t="s">
        <v>257</v>
      </c>
      <c r="N506" s="162"/>
      <c r="O506" s="163"/>
      <c r="P506" s="164" t="s">
        <v>525</v>
      </c>
      <c r="Q506" s="165" t="s">
        <v>298</v>
      </c>
      <c r="R506" s="165" t="s">
        <v>1933</v>
      </c>
      <c r="S506" s="151"/>
    </row>
    <row r="507" spans="1:19" ht="18" hidden="1" customHeight="1" x14ac:dyDescent="0.3">
      <c r="A507" s="76">
        <v>506</v>
      </c>
      <c r="B507" s="166" t="s">
        <v>250</v>
      </c>
      <c r="C507" s="175" t="s">
        <v>4</v>
      </c>
      <c r="D507" s="79" t="s">
        <v>206</v>
      </c>
      <c r="E507" s="80" t="s">
        <v>14</v>
      </c>
      <c r="F507" s="81"/>
      <c r="G507" s="82" t="s">
        <v>1934</v>
      </c>
      <c r="H507" s="83" t="s">
        <v>1935</v>
      </c>
      <c r="I507" s="84"/>
      <c r="J507" s="85"/>
      <c r="K507" s="81"/>
      <c r="L507" s="81"/>
      <c r="M507" s="86" t="s">
        <v>257</v>
      </c>
      <c r="N507" s="87"/>
      <c r="O507" s="78"/>
      <c r="P507" s="88" t="s">
        <v>525</v>
      </c>
      <c r="Q507" s="89" t="s">
        <v>298</v>
      </c>
      <c r="R507" s="89" t="s">
        <v>1936</v>
      </c>
      <c r="S507" s="76"/>
    </row>
    <row r="508" spans="1:19" ht="18" hidden="1" customHeight="1" x14ac:dyDescent="0.3">
      <c r="A508" s="151">
        <v>507</v>
      </c>
      <c r="B508" s="152" t="s">
        <v>250</v>
      </c>
      <c r="C508" s="174" t="s">
        <v>4</v>
      </c>
      <c r="D508" s="213" t="s">
        <v>206</v>
      </c>
      <c r="E508" s="155" t="s">
        <v>14</v>
      </c>
      <c r="F508" s="156"/>
      <c r="G508" s="157" t="s">
        <v>1937</v>
      </c>
      <c r="H508" s="158" t="s">
        <v>1938</v>
      </c>
      <c r="I508" s="159"/>
      <c r="J508" s="160"/>
      <c r="K508" s="156"/>
      <c r="L508" s="156"/>
      <c r="M508" s="86" t="s">
        <v>257</v>
      </c>
      <c r="N508" s="162"/>
      <c r="O508" s="163"/>
      <c r="P508" s="164" t="s">
        <v>495</v>
      </c>
      <c r="Q508" s="165" t="s">
        <v>298</v>
      </c>
      <c r="R508" s="165" t="s">
        <v>1939</v>
      </c>
      <c r="S508" s="151"/>
    </row>
    <row r="509" spans="1:19" ht="18" hidden="1" customHeight="1" x14ac:dyDescent="0.3">
      <c r="A509" s="76">
        <v>508</v>
      </c>
      <c r="B509" s="166" t="s">
        <v>250</v>
      </c>
      <c r="C509" s="175" t="s">
        <v>4</v>
      </c>
      <c r="D509" s="79" t="s">
        <v>206</v>
      </c>
      <c r="E509" s="80" t="s">
        <v>14</v>
      </c>
      <c r="F509" s="81"/>
      <c r="G509" s="82" t="s">
        <v>1940</v>
      </c>
      <c r="H509" s="83" t="s">
        <v>1941</v>
      </c>
      <c r="I509" s="84"/>
      <c r="J509" s="85"/>
      <c r="K509" s="81"/>
      <c r="L509" s="81"/>
      <c r="M509" s="86" t="s">
        <v>257</v>
      </c>
      <c r="N509" s="87"/>
      <c r="O509" s="78"/>
      <c r="P509" s="88" t="s">
        <v>1163</v>
      </c>
      <c r="Q509" s="89" t="s">
        <v>298</v>
      </c>
      <c r="R509" s="89" t="s">
        <v>1942</v>
      </c>
      <c r="S509" s="76"/>
    </row>
    <row r="510" spans="1:19" ht="18" hidden="1" customHeight="1" x14ac:dyDescent="0.3">
      <c r="A510" s="151">
        <v>509</v>
      </c>
      <c r="B510" s="152" t="s">
        <v>250</v>
      </c>
      <c r="C510" s="174" t="s">
        <v>4</v>
      </c>
      <c r="D510" s="213" t="s">
        <v>206</v>
      </c>
      <c r="E510" s="155" t="s">
        <v>14</v>
      </c>
      <c r="F510" s="156"/>
      <c r="G510" s="157" t="s">
        <v>1943</v>
      </c>
      <c r="H510" s="158" t="s">
        <v>1944</v>
      </c>
      <c r="I510" s="159"/>
      <c r="J510" s="160"/>
      <c r="K510" s="156"/>
      <c r="L510" s="156"/>
      <c r="M510" s="86" t="s">
        <v>257</v>
      </c>
      <c r="N510" s="162"/>
      <c r="O510" s="163"/>
      <c r="P510" s="164" t="s">
        <v>54</v>
      </c>
      <c r="Q510" s="165" t="s">
        <v>298</v>
      </c>
      <c r="R510" s="165" t="s">
        <v>1945</v>
      </c>
      <c r="S510" s="151"/>
    </row>
    <row r="511" spans="1:19" ht="18" hidden="1" customHeight="1" x14ac:dyDescent="0.3">
      <c r="A511" s="76">
        <v>510</v>
      </c>
      <c r="B511" s="166" t="s">
        <v>250</v>
      </c>
      <c r="C511" s="175" t="s">
        <v>4</v>
      </c>
      <c r="D511" s="79" t="s">
        <v>206</v>
      </c>
      <c r="E511" s="80" t="s">
        <v>14</v>
      </c>
      <c r="F511" s="81"/>
      <c r="G511" s="82" t="s">
        <v>1946</v>
      </c>
      <c r="H511" s="83" t="s">
        <v>1947</v>
      </c>
      <c r="I511" s="84"/>
      <c r="J511" s="85"/>
      <c r="K511" s="81"/>
      <c r="L511" s="81"/>
      <c r="M511" s="86" t="s">
        <v>257</v>
      </c>
      <c r="N511" s="87"/>
      <c r="O511" s="78"/>
      <c r="P511" s="88" t="s">
        <v>54</v>
      </c>
      <c r="Q511" s="89" t="s">
        <v>298</v>
      </c>
      <c r="R511" s="89"/>
      <c r="S511" s="76"/>
    </row>
    <row r="512" spans="1:19" ht="18" hidden="1" customHeight="1" x14ac:dyDescent="0.3">
      <c r="A512" s="151">
        <v>511</v>
      </c>
      <c r="B512" s="152" t="s">
        <v>250</v>
      </c>
      <c r="C512" s="174" t="s">
        <v>4</v>
      </c>
      <c r="D512" s="213" t="s">
        <v>206</v>
      </c>
      <c r="E512" s="155" t="s">
        <v>14</v>
      </c>
      <c r="F512" s="156"/>
      <c r="G512" s="157" t="s">
        <v>1948</v>
      </c>
      <c r="H512" s="158" t="s">
        <v>1949</v>
      </c>
      <c r="I512" s="159"/>
      <c r="J512" s="160"/>
      <c r="K512" s="156"/>
      <c r="L512" s="156"/>
      <c r="M512" s="86" t="s">
        <v>257</v>
      </c>
      <c r="N512" s="162"/>
      <c r="O512" s="163"/>
      <c r="P512" s="164" t="s">
        <v>291</v>
      </c>
      <c r="Q512" s="165" t="s">
        <v>60</v>
      </c>
      <c r="R512" s="165" t="s">
        <v>1950</v>
      </c>
      <c r="S512" s="151"/>
    </row>
    <row r="513" spans="1:19" ht="18" hidden="1" customHeight="1" x14ac:dyDescent="0.3">
      <c r="A513" s="76">
        <v>512</v>
      </c>
      <c r="B513" s="166" t="s">
        <v>250</v>
      </c>
      <c r="C513" s="175" t="s">
        <v>4</v>
      </c>
      <c r="D513" s="79" t="s">
        <v>206</v>
      </c>
      <c r="E513" s="80" t="s">
        <v>14</v>
      </c>
      <c r="F513" s="81"/>
      <c r="G513" s="82" t="s">
        <v>1951</v>
      </c>
      <c r="H513" s="83" t="s">
        <v>1952</v>
      </c>
      <c r="I513" s="84"/>
      <c r="J513" s="85"/>
      <c r="K513" s="81"/>
      <c r="L513" s="81"/>
      <c r="M513" s="86" t="s">
        <v>257</v>
      </c>
      <c r="N513" s="87"/>
      <c r="O513" s="78"/>
      <c r="P513" s="88" t="s">
        <v>393</v>
      </c>
      <c r="Q513" s="89" t="s">
        <v>298</v>
      </c>
      <c r="R513" s="89" t="s">
        <v>1953</v>
      </c>
      <c r="S513" s="76"/>
    </row>
    <row r="514" spans="1:19" ht="18" hidden="1" customHeight="1" x14ac:dyDescent="0.3">
      <c r="A514" s="151">
        <v>513</v>
      </c>
      <c r="B514" s="152" t="s">
        <v>250</v>
      </c>
      <c r="C514" s="174" t="s">
        <v>4</v>
      </c>
      <c r="D514" s="213" t="s">
        <v>206</v>
      </c>
      <c r="E514" s="155" t="s">
        <v>14</v>
      </c>
      <c r="F514" s="156"/>
      <c r="G514" s="157" t="s">
        <v>1954</v>
      </c>
      <c r="H514" s="158" t="s">
        <v>1955</v>
      </c>
      <c r="I514" s="159"/>
      <c r="J514" s="160"/>
      <c r="K514" s="156"/>
      <c r="L514" s="156"/>
      <c r="M514" s="86" t="s">
        <v>257</v>
      </c>
      <c r="N514" s="162"/>
      <c r="O514" s="163"/>
      <c r="P514" s="164" t="s">
        <v>291</v>
      </c>
      <c r="Q514" s="165" t="s">
        <v>298</v>
      </c>
      <c r="R514" s="165" t="s">
        <v>1956</v>
      </c>
      <c r="S514" s="151"/>
    </row>
    <row r="515" spans="1:19" ht="18" hidden="1" customHeight="1" x14ac:dyDescent="0.3">
      <c r="A515" s="76">
        <v>514</v>
      </c>
      <c r="B515" s="166" t="s">
        <v>250</v>
      </c>
      <c r="C515" s="175" t="s">
        <v>4</v>
      </c>
      <c r="D515" s="79" t="s">
        <v>206</v>
      </c>
      <c r="E515" s="80" t="s">
        <v>14</v>
      </c>
      <c r="F515" s="81"/>
      <c r="G515" s="82" t="s">
        <v>1957</v>
      </c>
      <c r="H515" s="83" t="s">
        <v>1958</v>
      </c>
      <c r="I515" s="84"/>
      <c r="J515" s="85"/>
      <c r="K515" s="81"/>
      <c r="L515" s="81"/>
      <c r="M515" s="86" t="s">
        <v>257</v>
      </c>
      <c r="N515" s="87"/>
      <c r="O515" s="78"/>
      <c r="P515" s="88" t="s">
        <v>291</v>
      </c>
      <c r="Q515" s="89" t="s">
        <v>298</v>
      </c>
      <c r="R515" s="89" t="s">
        <v>1959</v>
      </c>
      <c r="S515" s="76"/>
    </row>
    <row r="516" spans="1:19" ht="18" hidden="1" customHeight="1" x14ac:dyDescent="0.3">
      <c r="A516" s="151">
        <v>515</v>
      </c>
      <c r="B516" s="152" t="s">
        <v>250</v>
      </c>
      <c r="C516" s="174" t="s">
        <v>4</v>
      </c>
      <c r="D516" s="213" t="s">
        <v>206</v>
      </c>
      <c r="E516" s="155" t="s">
        <v>13</v>
      </c>
      <c r="F516" s="180" t="s">
        <v>92</v>
      </c>
      <c r="G516" s="157" t="s">
        <v>1960</v>
      </c>
      <c r="H516" s="158" t="s">
        <v>1961</v>
      </c>
      <c r="I516" s="159" t="s">
        <v>1962</v>
      </c>
      <c r="J516" s="160" t="s">
        <v>186</v>
      </c>
      <c r="K516" s="156"/>
      <c r="L516" s="156"/>
      <c r="M516" s="171" t="s">
        <v>40</v>
      </c>
      <c r="N516" s="162" t="s">
        <v>1963</v>
      </c>
      <c r="O516" s="163"/>
      <c r="P516" s="164" t="s">
        <v>73</v>
      </c>
      <c r="Q516" s="165"/>
      <c r="R516" s="165" t="s">
        <v>1964</v>
      </c>
      <c r="S516" s="151" t="s">
        <v>68</v>
      </c>
    </row>
    <row r="517" spans="1:19" ht="18" hidden="1" customHeight="1" x14ac:dyDescent="0.3">
      <c r="A517" s="76">
        <v>516</v>
      </c>
      <c r="B517" s="166" t="s">
        <v>250</v>
      </c>
      <c r="C517" s="175" t="s">
        <v>4</v>
      </c>
      <c r="D517" s="79" t="s">
        <v>206</v>
      </c>
      <c r="E517" s="80" t="s">
        <v>14</v>
      </c>
      <c r="F517" s="81"/>
      <c r="G517" s="82" t="s">
        <v>1965</v>
      </c>
      <c r="H517" s="83" t="s">
        <v>1966</v>
      </c>
      <c r="I517" s="84" t="s">
        <v>1041</v>
      </c>
      <c r="J517" s="85"/>
      <c r="K517" s="81"/>
      <c r="L517" s="81"/>
      <c r="M517" s="86" t="s">
        <v>40</v>
      </c>
      <c r="N517" s="87" t="s">
        <v>1094</v>
      </c>
      <c r="O517" s="78"/>
      <c r="P517" s="88" t="s">
        <v>73</v>
      </c>
      <c r="Q517" s="89" t="s">
        <v>705</v>
      </c>
      <c r="R517" s="89" t="s">
        <v>1967</v>
      </c>
      <c r="S517" s="76" t="s">
        <v>707</v>
      </c>
    </row>
    <row r="518" spans="1:19" ht="18" hidden="1" customHeight="1" x14ac:dyDescent="0.3">
      <c r="A518" s="151">
        <v>517</v>
      </c>
      <c r="B518" s="152" t="s">
        <v>250</v>
      </c>
      <c r="C518" s="212" t="s">
        <v>20</v>
      </c>
      <c r="D518" s="213" t="s">
        <v>206</v>
      </c>
      <c r="E518" s="155" t="s">
        <v>13</v>
      </c>
      <c r="F518" s="156"/>
      <c r="G518" s="157" t="s">
        <v>1968</v>
      </c>
      <c r="H518" s="158" t="s">
        <v>1969</v>
      </c>
      <c r="I518" s="159"/>
      <c r="J518" s="160" t="s">
        <v>186</v>
      </c>
      <c r="K518" s="156"/>
      <c r="L518" s="156"/>
      <c r="M518" s="171" t="s">
        <v>40</v>
      </c>
      <c r="N518" s="162" t="s">
        <v>1970</v>
      </c>
      <c r="O518" s="163" t="s">
        <v>290</v>
      </c>
      <c r="P518" s="164" t="s">
        <v>54</v>
      </c>
      <c r="Q518" s="165" t="s">
        <v>152</v>
      </c>
      <c r="R518" s="165" t="s">
        <v>1971</v>
      </c>
      <c r="S518" s="151"/>
    </row>
    <row r="519" spans="1:19" ht="18" hidden="1" customHeight="1" x14ac:dyDescent="0.3">
      <c r="A519" s="76">
        <v>518</v>
      </c>
      <c r="B519" s="166" t="s">
        <v>250</v>
      </c>
      <c r="C519" s="211" t="s">
        <v>20</v>
      </c>
      <c r="D519" s="79" t="s">
        <v>206</v>
      </c>
      <c r="E519" s="80" t="s">
        <v>13</v>
      </c>
      <c r="F519" s="81"/>
      <c r="G519" s="82" t="s">
        <v>1972</v>
      </c>
      <c r="H519" s="83" t="s">
        <v>1973</v>
      </c>
      <c r="I519" s="84"/>
      <c r="J519" s="85"/>
      <c r="K519" s="81"/>
      <c r="L519" s="81"/>
      <c r="M519" s="86" t="s">
        <v>40</v>
      </c>
      <c r="N519" s="87" t="s">
        <v>1974</v>
      </c>
      <c r="O519" s="78" t="s">
        <v>354</v>
      </c>
      <c r="P519" s="88" t="s">
        <v>54</v>
      </c>
      <c r="Q519" s="89" t="s">
        <v>355</v>
      </c>
      <c r="R519" s="89" t="s">
        <v>1975</v>
      </c>
      <c r="S519" s="76"/>
    </row>
    <row r="520" spans="1:19" ht="18" hidden="1" customHeight="1" x14ac:dyDescent="0.3">
      <c r="A520" s="151">
        <v>519</v>
      </c>
      <c r="B520" s="152" t="s">
        <v>250</v>
      </c>
      <c r="C520" s="212" t="s">
        <v>20</v>
      </c>
      <c r="D520" s="213" t="s">
        <v>206</v>
      </c>
      <c r="E520" s="155" t="s">
        <v>13</v>
      </c>
      <c r="F520" s="156"/>
      <c r="G520" s="157" t="s">
        <v>1976</v>
      </c>
      <c r="H520" s="158" t="s">
        <v>1977</v>
      </c>
      <c r="I520" s="159"/>
      <c r="J520" s="160"/>
      <c r="K520" s="156"/>
      <c r="L520" s="156"/>
      <c r="M520" s="161" t="s">
        <v>257</v>
      </c>
      <c r="N520" s="162"/>
      <c r="O520" s="163" t="s">
        <v>290</v>
      </c>
      <c r="P520" s="164" t="s">
        <v>1155</v>
      </c>
      <c r="Q520" s="165" t="s">
        <v>381</v>
      </c>
      <c r="R520" s="165" t="s">
        <v>1978</v>
      </c>
      <c r="S520" s="151"/>
    </row>
    <row r="521" spans="1:19" ht="18" hidden="1" customHeight="1" x14ac:dyDescent="0.3">
      <c r="A521" s="76">
        <v>520</v>
      </c>
      <c r="B521" s="166" t="s">
        <v>250</v>
      </c>
      <c r="C521" s="211" t="s">
        <v>20</v>
      </c>
      <c r="D521" s="79" t="s">
        <v>206</v>
      </c>
      <c r="E521" s="80" t="s">
        <v>13</v>
      </c>
      <c r="F521" s="81"/>
      <c r="G521" s="82" t="s">
        <v>1979</v>
      </c>
      <c r="H521" s="83" t="s">
        <v>1980</v>
      </c>
      <c r="I521" s="84"/>
      <c r="J521" s="85"/>
      <c r="K521" s="81"/>
      <c r="L521" s="81"/>
      <c r="M521" s="161" t="s">
        <v>257</v>
      </c>
      <c r="N521" s="87"/>
      <c r="O521" s="78" t="s">
        <v>290</v>
      </c>
      <c r="P521" s="88" t="s">
        <v>1981</v>
      </c>
      <c r="Q521" s="89" t="s">
        <v>264</v>
      </c>
      <c r="R521" s="89" t="s">
        <v>1982</v>
      </c>
      <c r="S521" s="76"/>
    </row>
    <row r="522" spans="1:19" ht="18" hidden="1" customHeight="1" x14ac:dyDescent="0.3">
      <c r="A522" s="151">
        <v>521</v>
      </c>
      <c r="B522" s="152" t="s">
        <v>250</v>
      </c>
      <c r="C522" s="212" t="s">
        <v>20</v>
      </c>
      <c r="D522" s="213" t="s">
        <v>206</v>
      </c>
      <c r="E522" s="155" t="s">
        <v>13</v>
      </c>
      <c r="F522" s="156"/>
      <c r="G522" s="157" t="s">
        <v>1983</v>
      </c>
      <c r="H522" s="158" t="s">
        <v>1984</v>
      </c>
      <c r="I522" s="159"/>
      <c r="J522" s="160"/>
      <c r="K522" s="156"/>
      <c r="L522" s="156"/>
      <c r="M522" s="161" t="s">
        <v>257</v>
      </c>
      <c r="N522" s="162"/>
      <c r="O522" s="163" t="s">
        <v>354</v>
      </c>
      <c r="P522" s="164" t="s">
        <v>54</v>
      </c>
      <c r="Q522" s="165" t="s">
        <v>264</v>
      </c>
      <c r="R522" s="165" t="s">
        <v>1985</v>
      </c>
      <c r="S522" s="151"/>
    </row>
    <row r="523" spans="1:19" ht="18" hidden="1" customHeight="1" x14ac:dyDescent="0.3">
      <c r="A523" s="76">
        <v>522</v>
      </c>
      <c r="B523" s="166" t="s">
        <v>250</v>
      </c>
      <c r="C523" s="211" t="s">
        <v>20</v>
      </c>
      <c r="D523" s="79" t="s">
        <v>206</v>
      </c>
      <c r="E523" s="80" t="s">
        <v>13</v>
      </c>
      <c r="F523" s="81"/>
      <c r="G523" s="82" t="s">
        <v>1986</v>
      </c>
      <c r="H523" s="83" t="s">
        <v>1987</v>
      </c>
      <c r="I523" s="84"/>
      <c r="J523" s="85"/>
      <c r="K523" s="81"/>
      <c r="L523" s="81"/>
      <c r="M523" s="161" t="s">
        <v>257</v>
      </c>
      <c r="N523" s="87"/>
      <c r="O523" s="78" t="s">
        <v>354</v>
      </c>
      <c r="P523" s="88" t="s">
        <v>54</v>
      </c>
      <c r="Q523" s="89" t="s">
        <v>264</v>
      </c>
      <c r="R523" s="89" t="s">
        <v>1988</v>
      </c>
      <c r="S523" s="76"/>
    </row>
    <row r="524" spans="1:19" ht="18" hidden="1" customHeight="1" x14ac:dyDescent="0.3">
      <c r="A524" s="151">
        <v>523</v>
      </c>
      <c r="B524" s="152" t="s">
        <v>250</v>
      </c>
      <c r="C524" s="212" t="s">
        <v>20</v>
      </c>
      <c r="D524" s="213" t="s">
        <v>206</v>
      </c>
      <c r="E524" s="155" t="s">
        <v>13</v>
      </c>
      <c r="F524" s="156"/>
      <c r="G524" s="157" t="s">
        <v>1989</v>
      </c>
      <c r="H524" s="158" t="s">
        <v>1990</v>
      </c>
      <c r="I524" s="159"/>
      <c r="J524" s="160"/>
      <c r="K524" s="156"/>
      <c r="L524" s="156"/>
      <c r="M524" s="161" t="s">
        <v>257</v>
      </c>
      <c r="N524" s="162"/>
      <c r="O524" s="163" t="s">
        <v>290</v>
      </c>
      <c r="P524" s="164" t="s">
        <v>54</v>
      </c>
      <c r="Q524" s="165" t="s">
        <v>264</v>
      </c>
      <c r="R524" s="165" t="s">
        <v>1991</v>
      </c>
      <c r="S524" s="151"/>
    </row>
    <row r="525" spans="1:19" ht="18" hidden="1" customHeight="1" x14ac:dyDescent="0.3">
      <c r="A525" s="76">
        <v>524</v>
      </c>
      <c r="B525" s="166" t="s">
        <v>250</v>
      </c>
      <c r="C525" s="211" t="s">
        <v>20</v>
      </c>
      <c r="D525" s="79" t="s">
        <v>206</v>
      </c>
      <c r="E525" s="80" t="s">
        <v>13</v>
      </c>
      <c r="F525" s="81"/>
      <c r="G525" s="82" t="s">
        <v>1992</v>
      </c>
      <c r="H525" s="83" t="s">
        <v>1993</v>
      </c>
      <c r="I525" s="84"/>
      <c r="J525" s="85" t="s">
        <v>51</v>
      </c>
      <c r="K525" s="81"/>
      <c r="L525" s="81"/>
      <c r="M525" s="86" t="s">
        <v>40</v>
      </c>
      <c r="N525" s="87" t="s">
        <v>1994</v>
      </c>
      <c r="O525" s="78" t="s">
        <v>354</v>
      </c>
      <c r="P525" s="88" t="s">
        <v>54</v>
      </c>
      <c r="Q525" s="89" t="s">
        <v>254</v>
      </c>
      <c r="R525" s="89" t="s">
        <v>1995</v>
      </c>
      <c r="S525" s="76"/>
    </row>
    <row r="526" spans="1:19" ht="18" hidden="1" customHeight="1" x14ac:dyDescent="0.3">
      <c r="A526" s="151">
        <v>525</v>
      </c>
      <c r="B526" s="152" t="s">
        <v>250</v>
      </c>
      <c r="C526" s="212" t="s">
        <v>20</v>
      </c>
      <c r="D526" s="213" t="s">
        <v>206</v>
      </c>
      <c r="E526" s="155" t="s">
        <v>13</v>
      </c>
      <c r="F526" s="156"/>
      <c r="G526" s="157" t="s">
        <v>1996</v>
      </c>
      <c r="H526" s="158" t="s">
        <v>1997</v>
      </c>
      <c r="I526" s="159"/>
      <c r="J526" s="160"/>
      <c r="K526" s="156"/>
      <c r="L526" s="156"/>
      <c r="M526" s="161" t="s">
        <v>257</v>
      </c>
      <c r="N526" s="162"/>
      <c r="O526" s="163" t="s">
        <v>290</v>
      </c>
      <c r="P526" s="164" t="s">
        <v>1998</v>
      </c>
      <c r="Q526" s="165" t="s">
        <v>264</v>
      </c>
      <c r="R526" s="165" t="s">
        <v>1999</v>
      </c>
      <c r="S526" s="151"/>
    </row>
    <row r="527" spans="1:19" ht="18" hidden="1" customHeight="1" x14ac:dyDescent="0.3">
      <c r="A527" s="76">
        <v>526</v>
      </c>
      <c r="B527" s="166" t="s">
        <v>250</v>
      </c>
      <c r="C527" s="211" t="s">
        <v>20</v>
      </c>
      <c r="D527" s="79" t="s">
        <v>206</v>
      </c>
      <c r="E527" s="80" t="s">
        <v>13</v>
      </c>
      <c r="F527" s="81"/>
      <c r="G527" s="82" t="s">
        <v>2000</v>
      </c>
      <c r="H527" s="83" t="s">
        <v>2001</v>
      </c>
      <c r="I527" s="84"/>
      <c r="J527" s="85"/>
      <c r="K527" s="81"/>
      <c r="L527" s="81"/>
      <c r="M527" s="169" t="s">
        <v>257</v>
      </c>
      <c r="N527" s="87"/>
      <c r="O527" s="78" t="s">
        <v>354</v>
      </c>
      <c r="P527" s="88" t="s">
        <v>54</v>
      </c>
      <c r="Q527" s="89" t="s">
        <v>152</v>
      </c>
      <c r="R527" s="89" t="s">
        <v>2002</v>
      </c>
      <c r="S527" s="76"/>
    </row>
    <row r="528" spans="1:19" ht="18" hidden="1" customHeight="1" x14ac:dyDescent="0.3">
      <c r="A528" s="151">
        <v>527</v>
      </c>
      <c r="B528" s="152" t="s">
        <v>250</v>
      </c>
      <c r="C528" s="212" t="s">
        <v>20</v>
      </c>
      <c r="D528" s="213" t="s">
        <v>206</v>
      </c>
      <c r="E528" s="155" t="s">
        <v>13</v>
      </c>
      <c r="F528" s="156"/>
      <c r="G528" s="157" t="s">
        <v>2003</v>
      </c>
      <c r="H528" s="158" t="s">
        <v>2004</v>
      </c>
      <c r="I528" s="159"/>
      <c r="J528" s="160" t="s">
        <v>186</v>
      </c>
      <c r="K528" s="156"/>
      <c r="L528" s="156"/>
      <c r="M528" s="161" t="s">
        <v>257</v>
      </c>
      <c r="N528" s="162"/>
      <c r="O528" s="163" t="s">
        <v>354</v>
      </c>
      <c r="P528" s="164" t="s">
        <v>2005</v>
      </c>
      <c r="Q528" s="165" t="s">
        <v>381</v>
      </c>
      <c r="R528" s="165" t="s">
        <v>2006</v>
      </c>
      <c r="S528" s="151"/>
    </row>
    <row r="529" spans="1:19" ht="18" hidden="1" customHeight="1" x14ac:dyDescent="0.3">
      <c r="A529" s="76">
        <v>528</v>
      </c>
      <c r="B529" s="166" t="s">
        <v>250</v>
      </c>
      <c r="C529" s="211" t="s">
        <v>20</v>
      </c>
      <c r="D529" s="79" t="s">
        <v>206</v>
      </c>
      <c r="E529" s="80" t="s">
        <v>13</v>
      </c>
      <c r="F529" s="81"/>
      <c r="G529" s="82" t="s">
        <v>2007</v>
      </c>
      <c r="H529" s="83" t="s">
        <v>2008</v>
      </c>
      <c r="I529" s="84"/>
      <c r="J529" s="85" t="s">
        <v>186</v>
      </c>
      <c r="K529" s="81"/>
      <c r="L529" s="81"/>
      <c r="M529" s="169" t="s">
        <v>257</v>
      </c>
      <c r="N529" s="87"/>
      <c r="O529" s="78" t="s">
        <v>354</v>
      </c>
      <c r="P529" s="88" t="s">
        <v>491</v>
      </c>
      <c r="Q529" s="89" t="s">
        <v>381</v>
      </c>
      <c r="R529" s="89" t="s">
        <v>2009</v>
      </c>
      <c r="S529" s="76"/>
    </row>
    <row r="530" spans="1:19" ht="18" hidden="1" customHeight="1" x14ac:dyDescent="0.3">
      <c r="A530" s="151">
        <v>529</v>
      </c>
      <c r="B530" s="152" t="s">
        <v>250</v>
      </c>
      <c r="C530" s="212" t="s">
        <v>20</v>
      </c>
      <c r="D530" s="213" t="s">
        <v>206</v>
      </c>
      <c r="E530" s="155" t="s">
        <v>13</v>
      </c>
      <c r="F530" s="156"/>
      <c r="G530" s="157" t="s">
        <v>2010</v>
      </c>
      <c r="H530" s="158" t="s">
        <v>2011</v>
      </c>
      <c r="I530" s="159"/>
      <c r="J530" s="160"/>
      <c r="K530" s="156"/>
      <c r="L530" s="156"/>
      <c r="M530" s="161" t="s">
        <v>257</v>
      </c>
      <c r="N530" s="162"/>
      <c r="O530" s="163" t="s">
        <v>354</v>
      </c>
      <c r="P530" s="164" t="s">
        <v>54</v>
      </c>
      <c r="Q530" s="165" t="s">
        <v>258</v>
      </c>
      <c r="R530" s="165" t="s">
        <v>2012</v>
      </c>
      <c r="S530" s="151"/>
    </row>
    <row r="531" spans="1:19" ht="18" hidden="1" customHeight="1" x14ac:dyDescent="0.3">
      <c r="A531" s="76">
        <v>530</v>
      </c>
      <c r="B531" s="166" t="s">
        <v>250</v>
      </c>
      <c r="C531" s="211" t="s">
        <v>20</v>
      </c>
      <c r="D531" s="79" t="s">
        <v>206</v>
      </c>
      <c r="E531" s="80" t="s">
        <v>13</v>
      </c>
      <c r="F531" s="81"/>
      <c r="G531" s="82" t="s">
        <v>2013</v>
      </c>
      <c r="H531" s="83" t="s">
        <v>2014</v>
      </c>
      <c r="I531" s="84"/>
      <c r="J531" s="85"/>
      <c r="K531" s="81"/>
      <c r="L531" s="81"/>
      <c r="M531" s="169" t="s">
        <v>257</v>
      </c>
      <c r="N531" s="87"/>
      <c r="O531" s="78" t="s">
        <v>354</v>
      </c>
      <c r="P531" s="88" t="s">
        <v>54</v>
      </c>
      <c r="Q531" s="89" t="s">
        <v>264</v>
      </c>
      <c r="R531" s="89" t="s">
        <v>2015</v>
      </c>
      <c r="S531" s="76"/>
    </row>
    <row r="532" spans="1:19" ht="18" hidden="1" customHeight="1" x14ac:dyDescent="0.3">
      <c r="A532" s="151">
        <v>531</v>
      </c>
      <c r="B532" s="152" t="s">
        <v>250</v>
      </c>
      <c r="C532" s="212" t="s">
        <v>20</v>
      </c>
      <c r="D532" s="213" t="s">
        <v>206</v>
      </c>
      <c r="E532" s="155" t="s">
        <v>13</v>
      </c>
      <c r="F532" s="156"/>
      <c r="G532" s="157" t="s">
        <v>2016</v>
      </c>
      <c r="H532" s="158" t="s">
        <v>2017</v>
      </c>
      <c r="I532" s="159"/>
      <c r="J532" s="160"/>
      <c r="K532" s="156"/>
      <c r="L532" s="156"/>
      <c r="M532" s="161" t="s">
        <v>257</v>
      </c>
      <c r="N532" s="162"/>
      <c r="O532" s="163" t="s">
        <v>354</v>
      </c>
      <c r="P532" s="164" t="s">
        <v>291</v>
      </c>
      <c r="Q532" s="165" t="s">
        <v>258</v>
      </c>
      <c r="R532" s="165" t="s">
        <v>2018</v>
      </c>
      <c r="S532" s="151"/>
    </row>
    <row r="533" spans="1:19" ht="18" hidden="1" customHeight="1" x14ac:dyDescent="0.3">
      <c r="A533" s="76">
        <v>532</v>
      </c>
      <c r="B533" s="166" t="s">
        <v>250</v>
      </c>
      <c r="C533" s="211" t="s">
        <v>20</v>
      </c>
      <c r="D533" s="79" t="s">
        <v>206</v>
      </c>
      <c r="E533" s="80" t="s">
        <v>13</v>
      </c>
      <c r="F533" s="173" t="s">
        <v>92</v>
      </c>
      <c r="G533" s="82" t="s">
        <v>2019</v>
      </c>
      <c r="H533" s="83" t="s">
        <v>2020</v>
      </c>
      <c r="I533" s="84"/>
      <c r="J533" s="85" t="s">
        <v>51</v>
      </c>
      <c r="K533" s="81"/>
      <c r="L533" s="81"/>
      <c r="M533" s="86" t="s">
        <v>40</v>
      </c>
      <c r="N533" s="87" t="s">
        <v>2021</v>
      </c>
      <c r="O533" s="78" t="s">
        <v>354</v>
      </c>
      <c r="P533" s="88" t="s">
        <v>457</v>
      </c>
      <c r="Q533" s="89" t="s">
        <v>264</v>
      </c>
      <c r="R533" s="89" t="s">
        <v>2022</v>
      </c>
      <c r="S533" s="76"/>
    </row>
    <row r="534" spans="1:19" ht="18" hidden="1" customHeight="1" x14ac:dyDescent="0.3">
      <c r="A534" s="151">
        <v>533</v>
      </c>
      <c r="B534" s="152" t="s">
        <v>250</v>
      </c>
      <c r="C534" s="212" t="s">
        <v>20</v>
      </c>
      <c r="D534" s="213" t="s">
        <v>206</v>
      </c>
      <c r="E534" s="155" t="s">
        <v>13</v>
      </c>
      <c r="F534" s="156"/>
      <c r="G534" s="157" t="s">
        <v>2023</v>
      </c>
      <c r="H534" s="158" t="s">
        <v>2024</v>
      </c>
      <c r="I534" s="159"/>
      <c r="J534" s="160" t="s">
        <v>51</v>
      </c>
      <c r="K534" s="156"/>
      <c r="L534" s="156"/>
      <c r="M534" s="171" t="s">
        <v>40</v>
      </c>
      <c r="N534" s="162" t="s">
        <v>2025</v>
      </c>
      <c r="O534" s="163" t="s">
        <v>354</v>
      </c>
      <c r="P534" s="164" t="s">
        <v>2026</v>
      </c>
      <c r="Q534" s="165" t="s">
        <v>254</v>
      </c>
      <c r="R534" s="165" t="s">
        <v>2027</v>
      </c>
      <c r="S534" s="151"/>
    </row>
    <row r="535" spans="1:19" ht="18" hidden="1" customHeight="1" x14ac:dyDescent="0.3">
      <c r="A535" s="76">
        <v>534</v>
      </c>
      <c r="B535" s="166" t="s">
        <v>250</v>
      </c>
      <c r="C535" s="211" t="s">
        <v>20</v>
      </c>
      <c r="D535" s="79" t="s">
        <v>206</v>
      </c>
      <c r="E535" s="80" t="s">
        <v>13</v>
      </c>
      <c r="F535" s="81"/>
      <c r="G535" s="82" t="s">
        <v>2028</v>
      </c>
      <c r="H535" s="83" t="s">
        <v>2029</v>
      </c>
      <c r="I535" s="84"/>
      <c r="J535" s="85"/>
      <c r="K535" s="81"/>
      <c r="L535" s="81"/>
      <c r="M535" s="169"/>
      <c r="N535" s="87"/>
      <c r="O535" s="78" t="s">
        <v>290</v>
      </c>
      <c r="P535" s="88" t="s">
        <v>54</v>
      </c>
      <c r="Q535" s="89" t="s">
        <v>264</v>
      </c>
      <c r="R535" s="89" t="s">
        <v>2030</v>
      </c>
      <c r="S535" s="76"/>
    </row>
    <row r="536" spans="1:19" ht="18" hidden="1" customHeight="1" x14ac:dyDescent="0.3">
      <c r="A536" s="151">
        <v>535</v>
      </c>
      <c r="B536" s="152" t="s">
        <v>250</v>
      </c>
      <c r="C536" s="212" t="s">
        <v>20</v>
      </c>
      <c r="D536" s="213" t="s">
        <v>206</v>
      </c>
      <c r="E536" s="155" t="s">
        <v>13</v>
      </c>
      <c r="F536" s="156"/>
      <c r="G536" s="157" t="s">
        <v>2031</v>
      </c>
      <c r="H536" s="158" t="s">
        <v>2032</v>
      </c>
      <c r="I536" s="159"/>
      <c r="J536" s="160"/>
      <c r="K536" s="156"/>
      <c r="L536" s="156"/>
      <c r="M536" s="161"/>
      <c r="N536" s="162"/>
      <c r="O536" s="163" t="s">
        <v>290</v>
      </c>
      <c r="P536" s="164" t="s">
        <v>532</v>
      </c>
      <c r="Q536" s="165" t="s">
        <v>258</v>
      </c>
      <c r="R536" s="165" t="s">
        <v>2033</v>
      </c>
      <c r="S536" s="151"/>
    </row>
    <row r="537" spans="1:19" ht="18" hidden="1" customHeight="1" x14ac:dyDescent="0.3">
      <c r="A537" s="76">
        <v>536</v>
      </c>
      <c r="B537" s="166" t="s">
        <v>250</v>
      </c>
      <c r="C537" s="211" t="s">
        <v>20</v>
      </c>
      <c r="D537" s="79" t="s">
        <v>206</v>
      </c>
      <c r="E537" s="80" t="s">
        <v>13</v>
      </c>
      <c r="F537" s="81"/>
      <c r="G537" s="82" t="s">
        <v>2034</v>
      </c>
      <c r="H537" s="83" t="s">
        <v>2035</v>
      </c>
      <c r="I537" s="84"/>
      <c r="J537" s="85" t="s">
        <v>51</v>
      </c>
      <c r="K537" s="81"/>
      <c r="L537" s="81"/>
      <c r="M537" s="86" t="s">
        <v>40</v>
      </c>
      <c r="N537" s="87" t="s">
        <v>2036</v>
      </c>
      <c r="O537" s="78" t="s">
        <v>290</v>
      </c>
      <c r="P537" s="88" t="s">
        <v>54</v>
      </c>
      <c r="Q537" s="89" t="s">
        <v>254</v>
      </c>
      <c r="R537" s="89" t="s">
        <v>2037</v>
      </c>
      <c r="S537" s="76"/>
    </row>
    <row r="538" spans="1:19" ht="18" hidden="1" customHeight="1" x14ac:dyDescent="0.3">
      <c r="A538" s="151">
        <v>537</v>
      </c>
      <c r="B538" s="152" t="s">
        <v>250</v>
      </c>
      <c r="C538" s="212" t="s">
        <v>20</v>
      </c>
      <c r="D538" s="213" t="s">
        <v>206</v>
      </c>
      <c r="E538" s="155" t="s">
        <v>13</v>
      </c>
      <c r="F538" s="156"/>
      <c r="G538" s="157" t="s">
        <v>2038</v>
      </c>
      <c r="H538" s="158" t="s">
        <v>2039</v>
      </c>
      <c r="I538" s="159"/>
      <c r="J538" s="160" t="s">
        <v>186</v>
      </c>
      <c r="K538" s="156"/>
      <c r="L538" s="156"/>
      <c r="M538" s="161" t="s">
        <v>257</v>
      </c>
      <c r="N538" s="162"/>
      <c r="O538" s="163" t="s">
        <v>290</v>
      </c>
      <c r="P538" s="164" t="s">
        <v>54</v>
      </c>
      <c r="Q538" s="165" t="s">
        <v>355</v>
      </c>
      <c r="R538" s="165" t="s">
        <v>2040</v>
      </c>
      <c r="S538" s="151"/>
    </row>
    <row r="539" spans="1:19" ht="18" hidden="1" customHeight="1" x14ac:dyDescent="0.3">
      <c r="A539" s="76">
        <v>538</v>
      </c>
      <c r="B539" s="166" t="s">
        <v>250</v>
      </c>
      <c r="C539" s="211" t="s">
        <v>20</v>
      </c>
      <c r="D539" s="79" t="s">
        <v>206</v>
      </c>
      <c r="E539" s="80" t="s">
        <v>13</v>
      </c>
      <c r="F539" s="81"/>
      <c r="G539" s="82" t="s">
        <v>2041</v>
      </c>
      <c r="H539" s="83" t="s">
        <v>2042</v>
      </c>
      <c r="I539" s="84"/>
      <c r="J539" s="85"/>
      <c r="K539" s="81"/>
      <c r="L539" s="81"/>
      <c r="M539" s="161" t="s">
        <v>257</v>
      </c>
      <c r="N539" s="87"/>
      <c r="O539" s="78" t="s">
        <v>290</v>
      </c>
      <c r="P539" s="88" t="s">
        <v>54</v>
      </c>
      <c r="Q539" s="89" t="s">
        <v>152</v>
      </c>
      <c r="R539" s="89" t="s">
        <v>2043</v>
      </c>
      <c r="S539" s="76"/>
    </row>
    <row r="540" spans="1:19" ht="18" hidden="1" customHeight="1" x14ac:dyDescent="0.3">
      <c r="A540" s="151">
        <v>539</v>
      </c>
      <c r="B540" s="152" t="s">
        <v>250</v>
      </c>
      <c r="C540" s="212" t="s">
        <v>20</v>
      </c>
      <c r="D540" s="213" t="s">
        <v>206</v>
      </c>
      <c r="E540" s="155" t="s">
        <v>13</v>
      </c>
      <c r="F540" s="156"/>
      <c r="G540" s="157" t="s">
        <v>2044</v>
      </c>
      <c r="H540" s="158" t="s">
        <v>2045</v>
      </c>
      <c r="I540" s="159"/>
      <c r="J540" s="160"/>
      <c r="K540" s="156"/>
      <c r="L540" s="156"/>
      <c r="M540" s="161" t="s">
        <v>257</v>
      </c>
      <c r="N540" s="162"/>
      <c r="O540" s="163" t="s">
        <v>290</v>
      </c>
      <c r="P540" s="164" t="s">
        <v>54</v>
      </c>
      <c r="Q540" s="165" t="s">
        <v>323</v>
      </c>
      <c r="R540" s="165" t="s">
        <v>2046</v>
      </c>
      <c r="S540" s="151"/>
    </row>
    <row r="541" spans="1:19" ht="18" hidden="1" customHeight="1" x14ac:dyDescent="0.3">
      <c r="A541" s="76">
        <v>540</v>
      </c>
      <c r="B541" s="166" t="s">
        <v>250</v>
      </c>
      <c r="C541" s="211" t="s">
        <v>20</v>
      </c>
      <c r="D541" s="79" t="s">
        <v>206</v>
      </c>
      <c r="E541" s="80" t="s">
        <v>13</v>
      </c>
      <c r="F541" s="81"/>
      <c r="G541" s="82" t="s">
        <v>2047</v>
      </c>
      <c r="H541" s="83" t="s">
        <v>639</v>
      </c>
      <c r="I541" s="84"/>
      <c r="J541" s="85"/>
      <c r="K541" s="81"/>
      <c r="L541" s="81"/>
      <c r="M541" s="161" t="s">
        <v>257</v>
      </c>
      <c r="N541" s="87"/>
      <c r="O541" s="78" t="s">
        <v>290</v>
      </c>
      <c r="P541" s="88" t="s">
        <v>54</v>
      </c>
      <c r="Q541" s="89" t="s">
        <v>264</v>
      </c>
      <c r="R541" s="89" t="s">
        <v>2048</v>
      </c>
      <c r="S541" s="76"/>
    </row>
    <row r="542" spans="1:19" ht="18" hidden="1" customHeight="1" x14ac:dyDescent="0.3">
      <c r="A542" s="151">
        <v>541</v>
      </c>
      <c r="B542" s="152" t="s">
        <v>250</v>
      </c>
      <c r="C542" s="212" t="s">
        <v>20</v>
      </c>
      <c r="D542" s="213" t="s">
        <v>206</v>
      </c>
      <c r="E542" s="155" t="s">
        <v>13</v>
      </c>
      <c r="F542" s="156"/>
      <c r="G542" s="157" t="s">
        <v>2049</v>
      </c>
      <c r="H542" s="158" t="s">
        <v>2050</v>
      </c>
      <c r="I542" s="159"/>
      <c r="J542" s="160"/>
      <c r="K542" s="156"/>
      <c r="L542" s="156"/>
      <c r="M542" s="161" t="s">
        <v>257</v>
      </c>
      <c r="N542" s="162"/>
      <c r="O542" s="163" t="s">
        <v>290</v>
      </c>
      <c r="P542" s="164" t="s">
        <v>495</v>
      </c>
      <c r="Q542" s="165" t="s">
        <v>264</v>
      </c>
      <c r="R542" s="165" t="s">
        <v>2051</v>
      </c>
      <c r="S542" s="151"/>
    </row>
    <row r="543" spans="1:19" ht="18" hidden="1" customHeight="1" x14ac:dyDescent="0.3">
      <c r="A543" s="76">
        <v>542</v>
      </c>
      <c r="B543" s="166" t="s">
        <v>250</v>
      </c>
      <c r="C543" s="211" t="s">
        <v>20</v>
      </c>
      <c r="D543" s="79" t="s">
        <v>206</v>
      </c>
      <c r="E543" s="80" t="s">
        <v>13</v>
      </c>
      <c r="F543" s="81"/>
      <c r="G543" s="82" t="s">
        <v>2052</v>
      </c>
      <c r="H543" s="83" t="s">
        <v>2053</v>
      </c>
      <c r="I543" s="84"/>
      <c r="J543" s="85"/>
      <c r="K543" s="81"/>
      <c r="L543" s="81"/>
      <c r="M543" s="161" t="s">
        <v>257</v>
      </c>
      <c r="N543" s="87"/>
      <c r="O543" s="78" t="s">
        <v>290</v>
      </c>
      <c r="P543" s="88" t="s">
        <v>54</v>
      </c>
      <c r="Q543" s="89" t="s">
        <v>264</v>
      </c>
      <c r="R543" s="89" t="s">
        <v>2054</v>
      </c>
      <c r="S543" s="76"/>
    </row>
    <row r="544" spans="1:19" ht="18" hidden="1" customHeight="1" x14ac:dyDescent="0.3">
      <c r="A544" s="151">
        <v>543</v>
      </c>
      <c r="B544" s="152" t="s">
        <v>250</v>
      </c>
      <c r="C544" s="212" t="s">
        <v>20</v>
      </c>
      <c r="D544" s="213" t="s">
        <v>206</v>
      </c>
      <c r="E544" s="155" t="s">
        <v>13</v>
      </c>
      <c r="F544" s="156"/>
      <c r="G544" s="157" t="s">
        <v>2055</v>
      </c>
      <c r="H544" s="158" t="s">
        <v>2056</v>
      </c>
      <c r="I544" s="159" t="s">
        <v>2057</v>
      </c>
      <c r="J544" s="160"/>
      <c r="K544" s="156"/>
      <c r="L544" s="156"/>
      <c r="M544" s="161" t="s">
        <v>257</v>
      </c>
      <c r="N544" s="162"/>
      <c r="O544" s="163" t="s">
        <v>290</v>
      </c>
      <c r="P544" s="164" t="s">
        <v>73</v>
      </c>
      <c r="Q544" s="165" t="s">
        <v>254</v>
      </c>
      <c r="R544" s="165" t="s">
        <v>2058</v>
      </c>
      <c r="S544" s="151"/>
    </row>
    <row r="545" spans="1:19" ht="18" hidden="1" customHeight="1" x14ac:dyDescent="0.3">
      <c r="A545" s="76">
        <v>544</v>
      </c>
      <c r="B545" s="166" t="s">
        <v>250</v>
      </c>
      <c r="C545" s="211" t="s">
        <v>20</v>
      </c>
      <c r="D545" s="79" t="s">
        <v>206</v>
      </c>
      <c r="E545" s="80" t="s">
        <v>13</v>
      </c>
      <c r="F545" s="81"/>
      <c r="G545" s="82" t="s">
        <v>2059</v>
      </c>
      <c r="H545" s="83" t="s">
        <v>2060</v>
      </c>
      <c r="I545" s="84" t="s">
        <v>2061</v>
      </c>
      <c r="J545" s="85" t="s">
        <v>186</v>
      </c>
      <c r="K545" s="81"/>
      <c r="L545" s="81"/>
      <c r="M545" s="161" t="s">
        <v>257</v>
      </c>
      <c r="N545" s="87"/>
      <c r="O545" s="78" t="s">
        <v>53</v>
      </c>
      <c r="P545" s="88" t="s">
        <v>393</v>
      </c>
      <c r="Q545" s="89" t="s">
        <v>254</v>
      </c>
      <c r="R545" s="89" t="s">
        <v>2062</v>
      </c>
      <c r="S545" s="76"/>
    </row>
    <row r="546" spans="1:19" ht="18" hidden="1" customHeight="1" x14ac:dyDescent="0.3">
      <c r="A546" s="151">
        <v>545</v>
      </c>
      <c r="B546" s="152" t="s">
        <v>250</v>
      </c>
      <c r="C546" s="212" t="s">
        <v>20</v>
      </c>
      <c r="D546" s="213" t="s">
        <v>206</v>
      </c>
      <c r="E546" s="155" t="s">
        <v>13</v>
      </c>
      <c r="F546" s="156"/>
      <c r="G546" s="157" t="s">
        <v>2063</v>
      </c>
      <c r="H546" s="158" t="s">
        <v>2064</v>
      </c>
      <c r="I546" s="159" t="s">
        <v>1784</v>
      </c>
      <c r="J546" s="160" t="s">
        <v>186</v>
      </c>
      <c r="K546" s="156"/>
      <c r="L546" s="156"/>
      <c r="M546" s="161" t="s">
        <v>257</v>
      </c>
      <c r="N546" s="162"/>
      <c r="O546" s="163" t="s">
        <v>354</v>
      </c>
      <c r="P546" s="164" t="s">
        <v>2065</v>
      </c>
      <c r="Q546" s="165" t="s">
        <v>264</v>
      </c>
      <c r="R546" s="165" t="s">
        <v>2066</v>
      </c>
      <c r="S546" s="151"/>
    </row>
    <row r="547" spans="1:19" ht="18" hidden="1" customHeight="1" x14ac:dyDescent="0.3">
      <c r="A547" s="76">
        <v>546</v>
      </c>
      <c r="B547" s="166" t="s">
        <v>250</v>
      </c>
      <c r="C547" s="211" t="s">
        <v>20</v>
      </c>
      <c r="D547" s="79" t="s">
        <v>206</v>
      </c>
      <c r="E547" s="80" t="s">
        <v>13</v>
      </c>
      <c r="F547" s="81"/>
      <c r="G547" s="82" t="s">
        <v>2067</v>
      </c>
      <c r="H547" s="83"/>
      <c r="I547" s="84" t="s">
        <v>2068</v>
      </c>
      <c r="J547" s="85"/>
      <c r="K547" s="81"/>
      <c r="L547" s="81"/>
      <c r="M547" s="161" t="s">
        <v>257</v>
      </c>
      <c r="N547" s="87"/>
      <c r="O547" s="78" t="s">
        <v>53</v>
      </c>
      <c r="P547" s="88" t="s">
        <v>73</v>
      </c>
      <c r="Q547" s="89" t="s">
        <v>254</v>
      </c>
      <c r="R547" s="89" t="s">
        <v>2069</v>
      </c>
      <c r="S547" s="76"/>
    </row>
    <row r="548" spans="1:19" ht="18" hidden="1" customHeight="1" x14ac:dyDescent="0.3">
      <c r="A548" s="151">
        <v>547</v>
      </c>
      <c r="B548" s="152" t="s">
        <v>250</v>
      </c>
      <c r="C548" s="212" t="s">
        <v>20</v>
      </c>
      <c r="D548" s="213" t="s">
        <v>206</v>
      </c>
      <c r="E548" s="155" t="s">
        <v>13</v>
      </c>
      <c r="F548" s="156"/>
      <c r="G548" s="157" t="s">
        <v>2070</v>
      </c>
      <c r="H548" s="158" t="s">
        <v>2071</v>
      </c>
      <c r="I548" s="159" t="s">
        <v>2072</v>
      </c>
      <c r="J548" s="160" t="s">
        <v>186</v>
      </c>
      <c r="K548" s="156"/>
      <c r="L548" s="156"/>
      <c r="M548" s="161" t="s">
        <v>257</v>
      </c>
      <c r="N548" s="162"/>
      <c r="O548" s="163" t="s">
        <v>53</v>
      </c>
      <c r="P548" s="164" t="s">
        <v>73</v>
      </c>
      <c r="Q548" s="165" t="s">
        <v>597</v>
      </c>
      <c r="R548" s="165" t="s">
        <v>2073</v>
      </c>
      <c r="S548" s="151"/>
    </row>
    <row r="549" spans="1:19" ht="18" hidden="1" customHeight="1" x14ac:dyDescent="0.3">
      <c r="A549" s="76">
        <v>548</v>
      </c>
      <c r="B549" s="166" t="s">
        <v>250</v>
      </c>
      <c r="C549" s="211" t="s">
        <v>20</v>
      </c>
      <c r="D549" s="79" t="s">
        <v>206</v>
      </c>
      <c r="E549" s="80" t="s">
        <v>13</v>
      </c>
      <c r="F549" s="81"/>
      <c r="G549" s="82" t="s">
        <v>2074</v>
      </c>
      <c r="H549" s="83" t="s">
        <v>2075</v>
      </c>
      <c r="I549" s="84" t="s">
        <v>2076</v>
      </c>
      <c r="J549" s="85" t="s">
        <v>186</v>
      </c>
      <c r="K549" s="81"/>
      <c r="L549" s="81"/>
      <c r="M549" s="161" t="s">
        <v>257</v>
      </c>
      <c r="N549" s="87"/>
      <c r="O549" s="78" t="s">
        <v>290</v>
      </c>
      <c r="P549" s="88" t="s">
        <v>73</v>
      </c>
      <c r="Q549" s="89" t="s">
        <v>597</v>
      </c>
      <c r="R549" s="89" t="s">
        <v>2077</v>
      </c>
      <c r="S549" s="76"/>
    </row>
    <row r="550" spans="1:19" ht="18" hidden="1" customHeight="1" x14ac:dyDescent="0.3">
      <c r="A550" s="151">
        <v>549</v>
      </c>
      <c r="B550" s="152" t="s">
        <v>250</v>
      </c>
      <c r="C550" s="212" t="s">
        <v>20</v>
      </c>
      <c r="D550" s="213" t="s">
        <v>206</v>
      </c>
      <c r="E550" s="155" t="s">
        <v>13</v>
      </c>
      <c r="F550" s="156"/>
      <c r="G550" s="157" t="s">
        <v>2078</v>
      </c>
      <c r="H550" s="158" t="s">
        <v>2079</v>
      </c>
      <c r="I550" s="159" t="s">
        <v>924</v>
      </c>
      <c r="J550" s="160"/>
      <c r="K550" s="156"/>
      <c r="L550" s="156"/>
      <c r="M550" s="161" t="s">
        <v>257</v>
      </c>
      <c r="N550" s="162"/>
      <c r="O550" s="163" t="s">
        <v>290</v>
      </c>
      <c r="P550" s="164" t="s">
        <v>73</v>
      </c>
      <c r="Q550" s="165" t="s">
        <v>597</v>
      </c>
      <c r="R550" s="165" t="s">
        <v>2080</v>
      </c>
      <c r="S550" s="151"/>
    </row>
    <row r="551" spans="1:19" ht="18" hidden="1" customHeight="1" x14ac:dyDescent="0.3">
      <c r="A551" s="76">
        <v>550</v>
      </c>
      <c r="B551" s="166" t="s">
        <v>250</v>
      </c>
      <c r="C551" s="211" t="s">
        <v>20</v>
      </c>
      <c r="D551" s="79" t="s">
        <v>206</v>
      </c>
      <c r="E551" s="80" t="s">
        <v>13</v>
      </c>
      <c r="F551" s="81"/>
      <c r="G551" s="82" t="s">
        <v>2081</v>
      </c>
      <c r="H551" s="83" t="s">
        <v>2082</v>
      </c>
      <c r="I551" s="84" t="s">
        <v>219</v>
      </c>
      <c r="J551" s="85" t="s">
        <v>186</v>
      </c>
      <c r="K551" s="81"/>
      <c r="L551" s="81"/>
      <c r="M551" s="161" t="s">
        <v>257</v>
      </c>
      <c r="N551" s="87"/>
      <c r="O551" s="78" t="s">
        <v>53</v>
      </c>
      <c r="P551" s="88" t="s">
        <v>648</v>
      </c>
      <c r="Q551" s="89" t="s">
        <v>254</v>
      </c>
      <c r="R551" s="89" t="s">
        <v>2083</v>
      </c>
      <c r="S551" s="76"/>
    </row>
    <row r="552" spans="1:19" ht="18" hidden="1" customHeight="1" x14ac:dyDescent="0.3">
      <c r="A552" s="151">
        <v>551</v>
      </c>
      <c r="B552" s="152" t="s">
        <v>250</v>
      </c>
      <c r="C552" s="212" t="s">
        <v>20</v>
      </c>
      <c r="D552" s="213" t="s">
        <v>206</v>
      </c>
      <c r="E552" s="155" t="s">
        <v>13</v>
      </c>
      <c r="F552" s="156"/>
      <c r="G552" s="157" t="s">
        <v>2084</v>
      </c>
      <c r="H552" s="158"/>
      <c r="I552" s="159" t="s">
        <v>2085</v>
      </c>
      <c r="J552" s="160"/>
      <c r="K552" s="156"/>
      <c r="L552" s="156"/>
      <c r="M552" s="161" t="s">
        <v>257</v>
      </c>
      <c r="N552" s="162"/>
      <c r="O552" s="163" t="s">
        <v>354</v>
      </c>
      <c r="P552" s="164" t="s">
        <v>73</v>
      </c>
      <c r="Q552" s="165" t="s">
        <v>597</v>
      </c>
      <c r="R552" s="165" t="s">
        <v>2086</v>
      </c>
      <c r="S552" s="151"/>
    </row>
    <row r="553" spans="1:19" ht="18" hidden="1" customHeight="1" x14ac:dyDescent="0.3">
      <c r="A553" s="76">
        <v>552</v>
      </c>
      <c r="B553" s="166" t="s">
        <v>250</v>
      </c>
      <c r="C553" s="211" t="s">
        <v>20</v>
      </c>
      <c r="D553" s="79" t="s">
        <v>206</v>
      </c>
      <c r="E553" s="80" t="s">
        <v>13</v>
      </c>
      <c r="F553" s="81"/>
      <c r="G553" s="82" t="s">
        <v>2087</v>
      </c>
      <c r="H553" s="83" t="s">
        <v>2088</v>
      </c>
      <c r="I553" s="84" t="s">
        <v>2089</v>
      </c>
      <c r="J553" s="85" t="s">
        <v>186</v>
      </c>
      <c r="K553" s="81"/>
      <c r="L553" s="81"/>
      <c r="M553" s="161" t="s">
        <v>257</v>
      </c>
      <c r="N553" s="87"/>
      <c r="O553" s="78" t="s">
        <v>354</v>
      </c>
      <c r="P553" s="88" t="s">
        <v>73</v>
      </c>
      <c r="Q553" s="89" t="s">
        <v>597</v>
      </c>
      <c r="R553" s="89" t="s">
        <v>2090</v>
      </c>
      <c r="S553" s="76"/>
    </row>
    <row r="554" spans="1:19" ht="18" hidden="1" customHeight="1" x14ac:dyDescent="0.3">
      <c r="A554" s="151">
        <v>553</v>
      </c>
      <c r="B554" s="152" t="s">
        <v>250</v>
      </c>
      <c r="C554" s="214" t="s">
        <v>21</v>
      </c>
      <c r="D554" s="213" t="s">
        <v>206</v>
      </c>
      <c r="E554" s="155" t="s">
        <v>13</v>
      </c>
      <c r="F554" s="180" t="s">
        <v>62</v>
      </c>
      <c r="G554" s="157" t="s">
        <v>2091</v>
      </c>
      <c r="H554" s="158"/>
      <c r="I554" s="159" t="s">
        <v>2092</v>
      </c>
      <c r="J554" s="160"/>
      <c r="K554" s="156"/>
      <c r="L554" s="156"/>
      <c r="M554" s="161" t="s">
        <v>257</v>
      </c>
      <c r="N554" s="162"/>
      <c r="O554" s="163"/>
      <c r="P554" s="164" t="s">
        <v>73</v>
      </c>
      <c r="Q554" s="165"/>
      <c r="R554" s="165" t="s">
        <v>2093</v>
      </c>
      <c r="S554" s="151" t="s">
        <v>68</v>
      </c>
    </row>
    <row r="555" spans="1:19" ht="18" customHeight="1" x14ac:dyDescent="0.3">
      <c r="A555" s="76">
        <v>554</v>
      </c>
      <c r="B555" s="166" t="s">
        <v>250</v>
      </c>
      <c r="C555" s="78" t="s">
        <v>19</v>
      </c>
      <c r="D555" s="79" t="s">
        <v>47</v>
      </c>
      <c r="E555" s="80" t="s">
        <v>13</v>
      </c>
      <c r="F555" s="81"/>
      <c r="G555" s="82" t="s">
        <v>2094</v>
      </c>
      <c r="H555" s="83" t="s">
        <v>2095</v>
      </c>
      <c r="I555" s="170" t="s">
        <v>2096</v>
      </c>
      <c r="J555" s="160" t="s">
        <v>51</v>
      </c>
      <c r="K555" s="81"/>
      <c r="L555" s="81"/>
      <c r="M555" s="86" t="s">
        <v>40</v>
      </c>
      <c r="N555" s="87" t="s">
        <v>2097</v>
      </c>
      <c r="O555" s="78"/>
      <c r="P555" s="88" t="s">
        <v>73</v>
      </c>
      <c r="Q555" s="89" t="s">
        <v>97</v>
      </c>
      <c r="R555" s="89"/>
      <c r="S555" s="76" t="s">
        <v>68</v>
      </c>
    </row>
    <row r="556" spans="1:19" ht="18" customHeight="1" x14ac:dyDescent="0.3">
      <c r="A556" s="151">
        <v>555</v>
      </c>
      <c r="B556" s="152" t="s">
        <v>5</v>
      </c>
      <c r="C556" s="163"/>
      <c r="D556" s="213" t="s">
        <v>206</v>
      </c>
      <c r="E556" s="155" t="s">
        <v>13</v>
      </c>
      <c r="F556" s="180" t="s">
        <v>2098</v>
      </c>
      <c r="G556" s="157" t="s">
        <v>2099</v>
      </c>
      <c r="H556" s="158"/>
      <c r="I556" s="159" t="s">
        <v>2100</v>
      </c>
      <c r="J556" s="160" t="s">
        <v>235</v>
      </c>
      <c r="K556" s="156"/>
      <c r="L556" s="156"/>
      <c r="M556" s="171" t="s">
        <v>40</v>
      </c>
      <c r="N556" s="162" t="s">
        <v>2101</v>
      </c>
      <c r="O556" s="163"/>
      <c r="P556" s="164" t="s">
        <v>73</v>
      </c>
      <c r="Q556" s="165"/>
      <c r="R556" s="165"/>
      <c r="S556" s="151" t="s">
        <v>68</v>
      </c>
    </row>
    <row r="557" spans="1:19" ht="18" customHeight="1" x14ac:dyDescent="0.3">
      <c r="A557" s="76">
        <v>556</v>
      </c>
      <c r="B557" s="166" t="s">
        <v>5</v>
      </c>
      <c r="C557" s="78"/>
      <c r="D557" s="79" t="s">
        <v>206</v>
      </c>
      <c r="E557" s="80" t="s">
        <v>13</v>
      </c>
      <c r="F557" s="81"/>
      <c r="G557" s="82" t="s">
        <v>2102</v>
      </c>
      <c r="H557" s="83"/>
      <c r="I557" s="84" t="s">
        <v>2103</v>
      </c>
      <c r="J557" s="160" t="s">
        <v>235</v>
      </c>
      <c r="K557" s="81"/>
      <c r="L557" s="81"/>
      <c r="M557" s="86" t="s">
        <v>40</v>
      </c>
      <c r="N557" s="87" t="s">
        <v>2104</v>
      </c>
      <c r="O557" s="78"/>
      <c r="P557" s="88"/>
      <c r="Q557" s="89" t="s">
        <v>751</v>
      </c>
      <c r="R557" s="89"/>
      <c r="S557" s="76" t="s">
        <v>2105</v>
      </c>
    </row>
    <row r="558" spans="1:19" ht="18" customHeight="1" x14ac:dyDescent="0.3">
      <c r="A558" s="151">
        <v>557</v>
      </c>
      <c r="B558" s="152" t="s">
        <v>5</v>
      </c>
      <c r="C558" s="163"/>
      <c r="D558" s="213" t="s">
        <v>206</v>
      </c>
      <c r="E558" s="155" t="s">
        <v>13</v>
      </c>
      <c r="F558" s="180" t="s">
        <v>48</v>
      </c>
      <c r="G558" s="157" t="s">
        <v>2106</v>
      </c>
      <c r="H558" s="158" t="s">
        <v>2071</v>
      </c>
      <c r="I558" s="159" t="s">
        <v>321</v>
      </c>
      <c r="J558" s="160" t="s">
        <v>235</v>
      </c>
      <c r="K558" s="156"/>
      <c r="L558" s="156"/>
      <c r="M558" s="171" t="s">
        <v>40</v>
      </c>
      <c r="N558" s="162" t="s">
        <v>2107</v>
      </c>
      <c r="O558" s="163"/>
      <c r="P558" s="164"/>
      <c r="Q558" s="165" t="s">
        <v>103</v>
      </c>
      <c r="R558" s="165"/>
      <c r="S558" s="151" t="s">
        <v>68</v>
      </c>
    </row>
    <row r="559" spans="1:19" ht="18" hidden="1" customHeight="1" x14ac:dyDescent="0.3">
      <c r="A559" s="76">
        <v>558</v>
      </c>
      <c r="B559" s="166" t="s">
        <v>250</v>
      </c>
      <c r="C559" s="78"/>
      <c r="D559" s="79" t="s">
        <v>206</v>
      </c>
      <c r="E559" s="80" t="s">
        <v>14</v>
      </c>
      <c r="F559" s="81"/>
      <c r="G559" s="82" t="s">
        <v>2108</v>
      </c>
      <c r="H559" s="83" t="s">
        <v>2109</v>
      </c>
      <c r="I559" s="84" t="s">
        <v>2110</v>
      </c>
      <c r="J559" s="85"/>
      <c r="K559" s="81"/>
      <c r="L559" s="81"/>
      <c r="M559" s="86" t="s">
        <v>40</v>
      </c>
      <c r="N559" s="87" t="s">
        <v>2111</v>
      </c>
      <c r="O559" s="78"/>
      <c r="P559" s="88" t="s">
        <v>73</v>
      </c>
      <c r="Q559" s="89" t="s">
        <v>109</v>
      </c>
      <c r="R559" s="89"/>
      <c r="S559" s="76" t="s">
        <v>68</v>
      </c>
    </row>
    <row r="560" spans="1:19" ht="18" hidden="1" customHeight="1" x14ac:dyDescent="0.3">
      <c r="A560" s="151">
        <v>559</v>
      </c>
      <c r="B560" s="152" t="s">
        <v>250</v>
      </c>
      <c r="C560" s="163"/>
      <c r="D560" s="213" t="s">
        <v>206</v>
      </c>
      <c r="E560" s="155" t="s">
        <v>14</v>
      </c>
      <c r="F560" s="156"/>
      <c r="G560" s="157" t="s">
        <v>2112</v>
      </c>
      <c r="H560" s="158"/>
      <c r="I560" s="159" t="s">
        <v>2113</v>
      </c>
      <c r="J560" s="160"/>
      <c r="K560" s="156"/>
      <c r="L560" s="156"/>
      <c r="M560" s="171" t="s">
        <v>40</v>
      </c>
      <c r="N560" s="162" t="s">
        <v>2114</v>
      </c>
      <c r="O560" s="163"/>
      <c r="P560" s="164"/>
      <c r="Q560" s="165" t="s">
        <v>2115</v>
      </c>
      <c r="R560" s="165"/>
      <c r="S560" s="151" t="s">
        <v>68</v>
      </c>
    </row>
    <row r="561" spans="1:19" ht="18" customHeight="1" x14ac:dyDescent="0.3">
      <c r="A561" s="76">
        <v>560</v>
      </c>
      <c r="B561" s="166" t="s">
        <v>250</v>
      </c>
      <c r="C561" s="78"/>
      <c r="D561" s="79" t="s">
        <v>206</v>
      </c>
      <c r="E561" s="80" t="s">
        <v>13</v>
      </c>
      <c r="F561" s="81"/>
      <c r="G561" s="82" t="s">
        <v>2116</v>
      </c>
      <c r="H561" s="83" t="s">
        <v>244</v>
      </c>
      <c r="I561" s="84"/>
      <c r="J561" s="160"/>
      <c r="K561" s="81"/>
      <c r="L561" s="81"/>
      <c r="M561" s="86" t="s">
        <v>40</v>
      </c>
      <c r="N561" s="87" t="s">
        <v>2117</v>
      </c>
      <c r="O561" s="78"/>
      <c r="P561" s="88" t="s">
        <v>73</v>
      </c>
      <c r="Q561" s="89" t="s">
        <v>2118</v>
      </c>
      <c r="R561" s="89"/>
      <c r="S561" s="76"/>
    </row>
    <row r="562" spans="1:19" ht="18" hidden="1" customHeight="1" x14ac:dyDescent="0.3">
      <c r="A562" s="151">
        <v>561</v>
      </c>
      <c r="B562" s="152" t="s">
        <v>250</v>
      </c>
      <c r="C562" s="163"/>
      <c r="D562" s="213" t="s">
        <v>206</v>
      </c>
      <c r="E562" s="155" t="s">
        <v>13</v>
      </c>
      <c r="F562" s="156"/>
      <c r="G562" s="157" t="s">
        <v>2119</v>
      </c>
      <c r="H562" s="158" t="s">
        <v>2120</v>
      </c>
      <c r="I562" s="159" t="s">
        <v>2121</v>
      </c>
      <c r="J562" s="160"/>
      <c r="K562" s="156"/>
      <c r="L562" s="156"/>
      <c r="M562" s="161"/>
      <c r="N562" s="162"/>
      <c r="O562" s="163"/>
      <c r="P562" s="164"/>
      <c r="Q562" s="165" t="s">
        <v>254</v>
      </c>
      <c r="R562" s="165"/>
      <c r="S562" s="151"/>
    </row>
    <row r="563" spans="1:19" ht="15.75" customHeight="1" x14ac:dyDescent="0.3">
      <c r="B563" s="33"/>
      <c r="C563" s="33"/>
      <c r="D563" s="33"/>
      <c r="E563" s="33"/>
      <c r="J563" s="33"/>
      <c r="M563" s="33"/>
      <c r="O563" s="33"/>
      <c r="P563" s="33"/>
      <c r="Q563" s="33"/>
    </row>
    <row r="564" spans="1:19" ht="15.75" customHeight="1" x14ac:dyDescent="0.3">
      <c r="B564" s="33"/>
      <c r="C564" s="33"/>
      <c r="D564" s="33"/>
      <c r="E564" s="33"/>
      <c r="J564" s="33"/>
      <c r="M564" s="33"/>
      <c r="O564" s="33"/>
      <c r="P564" s="33"/>
      <c r="Q564" s="33"/>
    </row>
    <row r="565" spans="1:19" ht="15.75" customHeight="1" x14ac:dyDescent="0.3">
      <c r="B565" s="33"/>
      <c r="C565" s="33"/>
      <c r="D565" s="33"/>
      <c r="E565" s="33"/>
      <c r="J565" s="33"/>
      <c r="M565" s="33"/>
      <c r="O565" s="33"/>
      <c r="P565" s="33"/>
      <c r="Q565" s="33"/>
    </row>
    <row r="566" spans="1:19" ht="15.75" customHeight="1" x14ac:dyDescent="0.3">
      <c r="B566" s="33"/>
      <c r="C566" s="33"/>
      <c r="D566" s="33"/>
      <c r="E566" s="33"/>
      <c r="J566" s="33"/>
      <c r="M566" s="33"/>
      <c r="O566" s="33"/>
      <c r="P566" s="33"/>
      <c r="Q566" s="33"/>
    </row>
    <row r="567" spans="1:19" ht="15.75" customHeight="1" x14ac:dyDescent="0.3">
      <c r="B567" s="33"/>
      <c r="C567" s="33"/>
      <c r="D567" s="33"/>
      <c r="E567" s="33"/>
      <c r="J567" s="33"/>
      <c r="M567" s="33"/>
      <c r="O567" s="33"/>
      <c r="P567" s="33"/>
      <c r="Q567" s="33"/>
    </row>
    <row r="568" spans="1:19" ht="15.75" customHeight="1" x14ac:dyDescent="0.3">
      <c r="B568" s="33"/>
      <c r="C568" s="33"/>
      <c r="D568" s="33"/>
      <c r="E568" s="33"/>
      <c r="J568" s="33"/>
      <c r="M568" s="33"/>
      <c r="O568" s="33"/>
      <c r="P568" s="33"/>
      <c r="Q568" s="33"/>
    </row>
    <row r="569" spans="1:19" ht="15.75" customHeight="1" x14ac:dyDescent="0.3">
      <c r="B569" s="33"/>
      <c r="C569" s="33"/>
      <c r="D569" s="33"/>
      <c r="E569" s="33"/>
      <c r="J569" s="33"/>
      <c r="M569" s="33"/>
      <c r="O569" s="33"/>
      <c r="P569" s="33"/>
      <c r="Q569" s="33"/>
    </row>
    <row r="570" spans="1:19" ht="15.75" customHeight="1" x14ac:dyDescent="0.3">
      <c r="B570" s="33"/>
      <c r="C570" s="33"/>
      <c r="D570" s="33"/>
      <c r="E570" s="33"/>
      <c r="J570" s="33"/>
      <c r="M570" s="33"/>
      <c r="O570" s="33"/>
      <c r="P570" s="33"/>
      <c r="Q570" s="33"/>
    </row>
    <row r="571" spans="1:19" ht="15.75" customHeight="1" x14ac:dyDescent="0.3">
      <c r="B571" s="33"/>
      <c r="C571" s="33"/>
      <c r="D571" s="33"/>
      <c r="E571" s="33"/>
      <c r="J571" s="33"/>
      <c r="M571" s="33"/>
      <c r="O571" s="33"/>
      <c r="P571" s="33"/>
      <c r="Q571" s="33"/>
    </row>
    <row r="572" spans="1:19" ht="15.75" customHeight="1" x14ac:dyDescent="0.3">
      <c r="B572" s="33"/>
      <c r="C572" s="33"/>
      <c r="D572" s="33"/>
      <c r="E572" s="33"/>
      <c r="J572" s="33"/>
      <c r="M572" s="33"/>
      <c r="O572" s="33"/>
      <c r="P572" s="33"/>
      <c r="Q572" s="33"/>
    </row>
    <row r="573" spans="1:19" ht="15.75" customHeight="1" x14ac:dyDescent="0.3">
      <c r="B573" s="33"/>
      <c r="C573" s="33"/>
      <c r="D573" s="33"/>
      <c r="E573" s="33"/>
      <c r="J573" s="33"/>
      <c r="M573" s="33"/>
      <c r="O573" s="33"/>
      <c r="P573" s="33"/>
      <c r="Q573" s="33"/>
    </row>
    <row r="574" spans="1:19" ht="15.75" customHeight="1" x14ac:dyDescent="0.3">
      <c r="B574" s="33"/>
      <c r="C574" s="33"/>
      <c r="D574" s="33"/>
      <c r="E574" s="33"/>
      <c r="J574" s="33"/>
      <c r="M574" s="33"/>
      <c r="O574" s="33"/>
      <c r="P574" s="33"/>
      <c r="Q574" s="33"/>
    </row>
    <row r="575" spans="1:19" ht="15.75" customHeight="1" x14ac:dyDescent="0.3">
      <c r="B575" s="33"/>
      <c r="C575" s="33"/>
      <c r="D575" s="33"/>
      <c r="E575" s="33"/>
      <c r="J575" s="33"/>
      <c r="M575" s="33"/>
      <c r="O575" s="33"/>
      <c r="P575" s="33"/>
      <c r="Q575" s="33"/>
    </row>
    <row r="576" spans="1:19" ht="15.75" customHeight="1" x14ac:dyDescent="0.3">
      <c r="B576" s="33"/>
      <c r="C576" s="33"/>
      <c r="D576" s="33"/>
      <c r="E576" s="33"/>
      <c r="J576" s="33"/>
      <c r="M576" s="33"/>
      <c r="O576" s="33"/>
      <c r="P576" s="33"/>
      <c r="Q576" s="33"/>
    </row>
    <row r="577" spans="2:17" ht="15.75" customHeight="1" x14ac:dyDescent="0.3">
      <c r="B577" s="33"/>
      <c r="C577" s="33"/>
      <c r="D577" s="33"/>
      <c r="E577" s="33"/>
      <c r="J577" s="33"/>
      <c r="M577" s="33"/>
      <c r="O577" s="33"/>
      <c r="P577" s="33"/>
      <c r="Q577" s="33"/>
    </row>
    <row r="578" spans="2:17" ht="15.75" customHeight="1" x14ac:dyDescent="0.3">
      <c r="B578" s="33"/>
      <c r="C578" s="33"/>
      <c r="D578" s="33"/>
      <c r="E578" s="33"/>
      <c r="J578" s="33"/>
      <c r="M578" s="33"/>
      <c r="O578" s="33"/>
      <c r="P578" s="33"/>
      <c r="Q578" s="33"/>
    </row>
    <row r="579" spans="2:17" ht="15.75" customHeight="1" x14ac:dyDescent="0.3">
      <c r="B579" s="33"/>
      <c r="C579" s="33"/>
      <c r="D579" s="33"/>
      <c r="E579" s="33"/>
      <c r="J579" s="33"/>
      <c r="M579" s="33"/>
      <c r="O579" s="33"/>
      <c r="P579" s="33"/>
      <c r="Q579" s="33"/>
    </row>
    <row r="580" spans="2:17" ht="15.75" customHeight="1" x14ac:dyDescent="0.3">
      <c r="B580" s="33"/>
      <c r="C580" s="33"/>
      <c r="D580" s="33"/>
      <c r="E580" s="33"/>
      <c r="J580" s="33"/>
      <c r="M580" s="33"/>
      <c r="O580" s="33"/>
      <c r="P580" s="33"/>
      <c r="Q580" s="33"/>
    </row>
    <row r="581" spans="2:17" ht="15.75" customHeight="1" x14ac:dyDescent="0.3">
      <c r="B581" s="33"/>
      <c r="C581" s="33"/>
      <c r="D581" s="33"/>
      <c r="E581" s="33"/>
      <c r="J581" s="33"/>
      <c r="M581" s="33"/>
      <c r="O581" s="33"/>
      <c r="P581" s="33"/>
      <c r="Q581" s="33"/>
    </row>
    <row r="582" spans="2:17" ht="15.75" customHeight="1" x14ac:dyDescent="0.3">
      <c r="B582" s="33"/>
      <c r="C582" s="33"/>
      <c r="D582" s="33"/>
      <c r="E582" s="33"/>
      <c r="J582" s="33"/>
      <c r="M582" s="33"/>
      <c r="O582" s="33"/>
      <c r="P582" s="33"/>
      <c r="Q582" s="33"/>
    </row>
    <row r="583" spans="2:17" ht="15.75" customHeight="1" x14ac:dyDescent="0.3">
      <c r="B583" s="33"/>
      <c r="C583" s="33"/>
      <c r="D583" s="33"/>
      <c r="E583" s="33"/>
      <c r="J583" s="33"/>
      <c r="M583" s="33"/>
      <c r="O583" s="33"/>
      <c r="P583" s="33"/>
      <c r="Q583" s="33"/>
    </row>
    <row r="584" spans="2:17" ht="15.75" customHeight="1" x14ac:dyDescent="0.3">
      <c r="B584" s="33"/>
      <c r="C584" s="33"/>
      <c r="D584" s="33"/>
      <c r="E584" s="33"/>
      <c r="J584" s="33"/>
      <c r="M584" s="33"/>
      <c r="O584" s="33"/>
      <c r="P584" s="33"/>
      <c r="Q584" s="33"/>
    </row>
    <row r="585" spans="2:17" ht="15.75" customHeight="1" x14ac:dyDescent="0.3">
      <c r="B585" s="33"/>
      <c r="C585" s="33"/>
      <c r="D585" s="33"/>
      <c r="E585" s="33"/>
      <c r="J585" s="33"/>
      <c r="M585" s="33"/>
      <c r="O585" s="33"/>
      <c r="P585" s="33"/>
      <c r="Q585" s="33"/>
    </row>
    <row r="586" spans="2:17" ht="15.75" customHeight="1" x14ac:dyDescent="0.3">
      <c r="B586" s="33"/>
      <c r="C586" s="33"/>
      <c r="D586" s="33"/>
      <c r="E586" s="33"/>
      <c r="J586" s="33"/>
      <c r="M586" s="33"/>
      <c r="O586" s="33"/>
      <c r="P586" s="33"/>
      <c r="Q586" s="33"/>
    </row>
    <row r="587" spans="2:17" ht="15.75" customHeight="1" x14ac:dyDescent="0.3">
      <c r="B587" s="33"/>
      <c r="C587" s="33"/>
      <c r="D587" s="33"/>
      <c r="E587" s="33"/>
      <c r="J587" s="33"/>
      <c r="M587" s="33"/>
      <c r="O587" s="33"/>
      <c r="P587" s="33"/>
      <c r="Q587" s="33"/>
    </row>
    <row r="588" spans="2:17" ht="15.75" customHeight="1" x14ac:dyDescent="0.3">
      <c r="B588" s="33"/>
      <c r="C588" s="33"/>
      <c r="D588" s="33"/>
      <c r="E588" s="33"/>
      <c r="J588" s="33"/>
      <c r="M588" s="33"/>
      <c r="O588" s="33"/>
      <c r="P588" s="33"/>
      <c r="Q588" s="33"/>
    </row>
    <row r="589" spans="2:17" ht="15.75" customHeight="1" x14ac:dyDescent="0.3">
      <c r="B589" s="33"/>
      <c r="C589" s="33"/>
      <c r="D589" s="33"/>
      <c r="E589" s="33"/>
      <c r="J589" s="33"/>
      <c r="M589" s="33"/>
      <c r="O589" s="33"/>
      <c r="P589" s="33"/>
      <c r="Q589" s="33"/>
    </row>
    <row r="590" spans="2:17" ht="15.75" customHeight="1" x14ac:dyDescent="0.3">
      <c r="B590" s="33"/>
      <c r="C590" s="33"/>
      <c r="D590" s="33"/>
      <c r="E590" s="33"/>
      <c r="J590" s="33"/>
      <c r="M590" s="33"/>
      <c r="O590" s="33"/>
      <c r="P590" s="33"/>
      <c r="Q590" s="33"/>
    </row>
    <row r="591" spans="2:17" ht="15.75" customHeight="1" x14ac:dyDescent="0.3">
      <c r="B591" s="33"/>
      <c r="C591" s="33"/>
      <c r="D591" s="33"/>
      <c r="E591" s="33"/>
      <c r="J591" s="33"/>
      <c r="M591" s="33"/>
      <c r="O591" s="33"/>
      <c r="P591" s="33"/>
      <c r="Q591" s="33"/>
    </row>
    <row r="592" spans="2:17" ht="15.75" customHeight="1" x14ac:dyDescent="0.3">
      <c r="B592" s="33"/>
      <c r="C592" s="33"/>
      <c r="D592" s="33"/>
      <c r="E592" s="33"/>
      <c r="J592" s="33"/>
      <c r="M592" s="33"/>
      <c r="O592" s="33"/>
      <c r="P592" s="33"/>
      <c r="Q592" s="33"/>
    </row>
    <row r="593" spans="2:17" ht="15.75" customHeight="1" x14ac:dyDescent="0.3">
      <c r="B593" s="33"/>
      <c r="C593" s="33"/>
      <c r="D593" s="33"/>
      <c r="E593" s="33"/>
      <c r="J593" s="33"/>
      <c r="M593" s="33"/>
      <c r="O593" s="33"/>
      <c r="P593" s="33"/>
      <c r="Q593" s="33"/>
    </row>
    <row r="594" spans="2:17" ht="15.75" customHeight="1" x14ac:dyDescent="0.3">
      <c r="B594" s="33"/>
      <c r="C594" s="33"/>
      <c r="D594" s="33"/>
      <c r="E594" s="33"/>
      <c r="J594" s="33"/>
      <c r="M594" s="33"/>
      <c r="O594" s="33"/>
      <c r="P594" s="33"/>
      <c r="Q594" s="33"/>
    </row>
    <row r="595" spans="2:17" ht="15.75" customHeight="1" x14ac:dyDescent="0.3">
      <c r="B595" s="33"/>
      <c r="C595" s="33"/>
      <c r="D595" s="33"/>
      <c r="E595" s="33"/>
      <c r="J595" s="33"/>
      <c r="M595" s="33"/>
      <c r="O595" s="33"/>
      <c r="P595" s="33"/>
      <c r="Q595" s="33"/>
    </row>
    <row r="596" spans="2:17" ht="15.75" customHeight="1" x14ac:dyDescent="0.3">
      <c r="B596" s="33"/>
      <c r="C596" s="33"/>
      <c r="D596" s="33"/>
      <c r="E596" s="33"/>
      <c r="J596" s="33"/>
      <c r="M596" s="33"/>
      <c r="O596" s="33"/>
      <c r="P596" s="33"/>
      <c r="Q596" s="33"/>
    </row>
    <row r="597" spans="2:17" ht="15.75" customHeight="1" x14ac:dyDescent="0.3">
      <c r="B597" s="33"/>
      <c r="C597" s="33"/>
      <c r="D597" s="33"/>
      <c r="E597" s="33"/>
      <c r="J597" s="33"/>
      <c r="M597" s="33"/>
      <c r="O597" s="33"/>
      <c r="P597" s="33"/>
      <c r="Q597" s="33"/>
    </row>
    <row r="598" spans="2:17" ht="15.75" customHeight="1" x14ac:dyDescent="0.3">
      <c r="B598" s="33"/>
      <c r="C598" s="33"/>
      <c r="D598" s="33"/>
      <c r="E598" s="33"/>
      <c r="J598" s="33"/>
      <c r="M598" s="33"/>
      <c r="O598" s="33"/>
      <c r="P598" s="33"/>
      <c r="Q598" s="33"/>
    </row>
    <row r="599" spans="2:17" ht="15.75" customHeight="1" x14ac:dyDescent="0.3">
      <c r="B599" s="33"/>
      <c r="C599" s="33"/>
      <c r="D599" s="33"/>
      <c r="E599" s="33"/>
      <c r="J599" s="33"/>
      <c r="M599" s="33"/>
      <c r="O599" s="33"/>
      <c r="P599" s="33"/>
      <c r="Q599" s="33"/>
    </row>
    <row r="600" spans="2:17" ht="15.75" customHeight="1" x14ac:dyDescent="0.3">
      <c r="B600" s="33"/>
      <c r="C600" s="33"/>
      <c r="D600" s="33"/>
      <c r="E600" s="33"/>
      <c r="J600" s="33"/>
      <c r="M600" s="33"/>
      <c r="O600" s="33"/>
      <c r="P600" s="33"/>
      <c r="Q600" s="33"/>
    </row>
    <row r="601" spans="2:17" ht="15.75" customHeight="1" x14ac:dyDescent="0.3">
      <c r="B601" s="33"/>
      <c r="C601" s="33"/>
      <c r="D601" s="33"/>
      <c r="E601" s="33"/>
      <c r="J601" s="33"/>
      <c r="M601" s="33"/>
      <c r="O601" s="33"/>
      <c r="P601" s="33"/>
      <c r="Q601" s="33"/>
    </row>
    <row r="602" spans="2:17" ht="15.75" customHeight="1" x14ac:dyDescent="0.3">
      <c r="B602" s="33"/>
      <c r="C602" s="33"/>
      <c r="D602" s="33"/>
      <c r="E602" s="33"/>
      <c r="J602" s="33"/>
      <c r="M602" s="33"/>
      <c r="O602" s="33"/>
      <c r="P602" s="33"/>
      <c r="Q602" s="33"/>
    </row>
    <row r="603" spans="2:17" ht="15.75" customHeight="1" x14ac:dyDescent="0.3">
      <c r="B603" s="33"/>
      <c r="C603" s="33"/>
      <c r="D603" s="33"/>
      <c r="E603" s="33"/>
      <c r="J603" s="33"/>
      <c r="M603" s="33"/>
      <c r="O603" s="33"/>
      <c r="P603" s="33"/>
      <c r="Q603" s="33"/>
    </row>
    <row r="604" spans="2:17" ht="15.75" customHeight="1" x14ac:dyDescent="0.3">
      <c r="B604" s="33"/>
      <c r="C604" s="33"/>
      <c r="D604" s="33"/>
      <c r="E604" s="33"/>
      <c r="J604" s="33"/>
      <c r="M604" s="33"/>
      <c r="O604" s="33"/>
      <c r="P604" s="33"/>
      <c r="Q604" s="33"/>
    </row>
    <row r="605" spans="2:17" ht="15.75" customHeight="1" x14ac:dyDescent="0.3">
      <c r="B605" s="33"/>
      <c r="C605" s="33"/>
      <c r="D605" s="33"/>
      <c r="E605" s="33"/>
      <c r="J605" s="33"/>
      <c r="M605" s="33"/>
      <c r="O605" s="33"/>
      <c r="P605" s="33"/>
      <c r="Q605" s="33"/>
    </row>
    <row r="606" spans="2:17" ht="15.75" customHeight="1" x14ac:dyDescent="0.3">
      <c r="B606" s="33"/>
      <c r="C606" s="33"/>
      <c r="D606" s="33"/>
      <c r="E606" s="33"/>
      <c r="J606" s="33"/>
      <c r="M606" s="33"/>
      <c r="O606" s="33"/>
      <c r="P606" s="33"/>
      <c r="Q606" s="33"/>
    </row>
    <row r="607" spans="2:17" ht="15.75" customHeight="1" x14ac:dyDescent="0.3">
      <c r="B607" s="33"/>
      <c r="C607" s="33"/>
      <c r="D607" s="33"/>
      <c r="E607" s="33"/>
      <c r="J607" s="33"/>
      <c r="M607" s="33"/>
      <c r="O607" s="33"/>
      <c r="P607" s="33"/>
      <c r="Q607" s="33"/>
    </row>
    <row r="608" spans="2:17" ht="15.75" customHeight="1" x14ac:dyDescent="0.3">
      <c r="B608" s="33"/>
      <c r="C608" s="33"/>
      <c r="D608" s="33"/>
      <c r="E608" s="33"/>
      <c r="J608" s="33"/>
      <c r="M608" s="33"/>
      <c r="O608" s="33"/>
      <c r="P608" s="33"/>
      <c r="Q608" s="33"/>
    </row>
    <row r="609" spans="2:17" ht="15.75" customHeight="1" x14ac:dyDescent="0.3">
      <c r="B609" s="33"/>
      <c r="C609" s="33"/>
      <c r="D609" s="33"/>
      <c r="E609" s="33"/>
      <c r="J609" s="33"/>
      <c r="M609" s="33"/>
      <c r="O609" s="33"/>
      <c r="P609" s="33"/>
      <c r="Q609" s="33"/>
    </row>
    <row r="610" spans="2:17" ht="15.75" customHeight="1" x14ac:dyDescent="0.3">
      <c r="B610" s="33"/>
      <c r="C610" s="33"/>
      <c r="D610" s="33"/>
      <c r="E610" s="33"/>
      <c r="J610" s="33"/>
      <c r="M610" s="33"/>
      <c r="O610" s="33"/>
      <c r="P610" s="33"/>
      <c r="Q610" s="33"/>
    </row>
    <row r="611" spans="2:17" ht="15.75" customHeight="1" x14ac:dyDescent="0.3">
      <c r="B611" s="33"/>
      <c r="C611" s="33"/>
      <c r="D611" s="33"/>
      <c r="E611" s="33"/>
      <c r="J611" s="33"/>
      <c r="M611" s="33"/>
      <c r="O611" s="33"/>
      <c r="P611" s="33"/>
      <c r="Q611" s="33"/>
    </row>
    <row r="612" spans="2:17" ht="15.75" customHeight="1" x14ac:dyDescent="0.3">
      <c r="B612" s="33"/>
      <c r="C612" s="33"/>
      <c r="D612" s="33"/>
      <c r="E612" s="33"/>
      <c r="J612" s="33"/>
      <c r="M612" s="33"/>
      <c r="O612" s="33"/>
      <c r="P612" s="33"/>
      <c r="Q612" s="33"/>
    </row>
    <row r="613" spans="2:17" ht="15.75" customHeight="1" x14ac:dyDescent="0.3">
      <c r="B613" s="33"/>
      <c r="C613" s="33"/>
      <c r="D613" s="33"/>
      <c r="E613" s="33"/>
      <c r="J613" s="33"/>
      <c r="M613" s="33"/>
      <c r="O613" s="33"/>
      <c r="P613" s="33"/>
      <c r="Q613" s="33"/>
    </row>
    <row r="614" spans="2:17" ht="15.75" customHeight="1" x14ac:dyDescent="0.3">
      <c r="B614" s="33"/>
      <c r="C614" s="33"/>
      <c r="D614" s="33"/>
      <c r="E614" s="33"/>
      <c r="J614" s="33"/>
      <c r="M614" s="33"/>
      <c r="O614" s="33"/>
      <c r="P614" s="33"/>
      <c r="Q614" s="33"/>
    </row>
    <row r="615" spans="2:17" ht="15.75" customHeight="1" x14ac:dyDescent="0.3">
      <c r="B615" s="33"/>
      <c r="C615" s="33"/>
      <c r="D615" s="33"/>
      <c r="E615" s="33"/>
      <c r="J615" s="33"/>
      <c r="M615" s="33"/>
      <c r="O615" s="33"/>
      <c r="P615" s="33"/>
      <c r="Q615" s="33"/>
    </row>
    <row r="616" spans="2:17" ht="15.75" customHeight="1" x14ac:dyDescent="0.3">
      <c r="B616" s="33"/>
      <c r="C616" s="33"/>
      <c r="D616" s="33"/>
      <c r="E616" s="33"/>
      <c r="J616" s="33"/>
      <c r="M616" s="33"/>
      <c r="O616" s="33"/>
      <c r="P616" s="33"/>
      <c r="Q616" s="33"/>
    </row>
    <row r="617" spans="2:17" ht="15.75" customHeight="1" x14ac:dyDescent="0.3">
      <c r="B617" s="33"/>
      <c r="C617" s="33"/>
      <c r="D617" s="33"/>
      <c r="E617" s="33"/>
      <c r="J617" s="33"/>
      <c r="M617" s="33"/>
      <c r="O617" s="33"/>
      <c r="P617" s="33"/>
      <c r="Q617" s="33"/>
    </row>
    <row r="618" spans="2:17" ht="15.75" customHeight="1" x14ac:dyDescent="0.3">
      <c r="B618" s="33"/>
      <c r="C618" s="33"/>
      <c r="D618" s="33"/>
      <c r="E618" s="33"/>
      <c r="J618" s="33"/>
      <c r="M618" s="33"/>
      <c r="O618" s="33"/>
      <c r="P618" s="33"/>
      <c r="Q618" s="33"/>
    </row>
    <row r="619" spans="2:17" ht="15.75" customHeight="1" x14ac:dyDescent="0.3">
      <c r="B619" s="33"/>
      <c r="C619" s="33"/>
      <c r="D619" s="33"/>
      <c r="E619" s="33"/>
      <c r="J619" s="33"/>
      <c r="M619" s="33"/>
      <c r="O619" s="33"/>
      <c r="P619" s="33"/>
      <c r="Q619" s="33"/>
    </row>
    <row r="620" spans="2:17" ht="15.75" customHeight="1" x14ac:dyDescent="0.3">
      <c r="B620" s="33"/>
      <c r="C620" s="33"/>
      <c r="D620" s="33"/>
      <c r="E620" s="33"/>
      <c r="J620" s="33"/>
      <c r="M620" s="33"/>
      <c r="O620" s="33"/>
      <c r="P620" s="33"/>
      <c r="Q620" s="33"/>
    </row>
    <row r="621" spans="2:17" ht="15.75" customHeight="1" x14ac:dyDescent="0.3">
      <c r="B621" s="33"/>
      <c r="C621" s="33"/>
      <c r="D621" s="33"/>
      <c r="E621" s="33"/>
      <c r="J621" s="33"/>
      <c r="M621" s="33"/>
      <c r="O621" s="33"/>
      <c r="P621" s="33"/>
      <c r="Q621" s="33"/>
    </row>
    <row r="622" spans="2:17" ht="15.75" customHeight="1" x14ac:dyDescent="0.3">
      <c r="B622" s="33"/>
      <c r="C622" s="33"/>
      <c r="D622" s="33"/>
      <c r="E622" s="33"/>
      <c r="J622" s="33"/>
      <c r="M622" s="33"/>
      <c r="O622" s="33"/>
      <c r="P622" s="33"/>
      <c r="Q622" s="33"/>
    </row>
    <row r="623" spans="2:17" ht="15.75" customHeight="1" x14ac:dyDescent="0.3">
      <c r="B623" s="33"/>
      <c r="C623" s="33"/>
      <c r="D623" s="33"/>
      <c r="E623" s="33"/>
      <c r="J623" s="33"/>
      <c r="M623" s="33"/>
      <c r="O623" s="33"/>
      <c r="P623" s="33"/>
      <c r="Q623" s="33"/>
    </row>
    <row r="624" spans="2:17" ht="15.75" customHeight="1" x14ac:dyDescent="0.3">
      <c r="B624" s="33"/>
      <c r="C624" s="33"/>
      <c r="D624" s="33"/>
      <c r="E624" s="33"/>
      <c r="J624" s="33"/>
      <c r="M624" s="33"/>
      <c r="O624" s="33"/>
      <c r="P624" s="33"/>
      <c r="Q624" s="33"/>
    </row>
    <row r="625" spans="2:17" ht="15.75" customHeight="1" x14ac:dyDescent="0.3">
      <c r="B625" s="33"/>
      <c r="C625" s="33"/>
      <c r="D625" s="33"/>
      <c r="E625" s="33"/>
      <c r="J625" s="33"/>
      <c r="M625" s="33"/>
      <c r="O625" s="33"/>
      <c r="P625" s="33"/>
      <c r="Q625" s="33"/>
    </row>
    <row r="626" spans="2:17" ht="15.75" customHeight="1" x14ac:dyDescent="0.3">
      <c r="B626" s="33"/>
      <c r="C626" s="33"/>
      <c r="D626" s="33"/>
      <c r="E626" s="33"/>
      <c r="J626" s="33"/>
      <c r="M626" s="33"/>
      <c r="O626" s="33"/>
      <c r="P626" s="33"/>
      <c r="Q626" s="33"/>
    </row>
    <row r="627" spans="2:17" ht="15.75" customHeight="1" x14ac:dyDescent="0.3">
      <c r="B627" s="33"/>
      <c r="C627" s="33"/>
      <c r="D627" s="33"/>
      <c r="E627" s="33"/>
      <c r="J627" s="33"/>
      <c r="M627" s="33"/>
      <c r="O627" s="33"/>
      <c r="P627" s="33"/>
      <c r="Q627" s="33"/>
    </row>
    <row r="628" spans="2:17" ht="15.75" customHeight="1" x14ac:dyDescent="0.3">
      <c r="B628" s="33"/>
      <c r="C628" s="33"/>
      <c r="D628" s="33"/>
      <c r="E628" s="33"/>
      <c r="J628" s="33"/>
      <c r="M628" s="33"/>
      <c r="O628" s="33"/>
      <c r="P628" s="33"/>
      <c r="Q628" s="33"/>
    </row>
    <row r="629" spans="2:17" ht="15.75" customHeight="1" x14ac:dyDescent="0.3">
      <c r="B629" s="33"/>
      <c r="C629" s="33"/>
      <c r="D629" s="33"/>
      <c r="E629" s="33"/>
      <c r="J629" s="33"/>
      <c r="M629" s="33"/>
      <c r="O629" s="33"/>
      <c r="P629" s="33"/>
      <c r="Q629" s="33"/>
    </row>
    <row r="630" spans="2:17" ht="15.75" customHeight="1" x14ac:dyDescent="0.3">
      <c r="B630" s="33"/>
      <c r="C630" s="33"/>
      <c r="D630" s="33"/>
      <c r="E630" s="33"/>
      <c r="J630" s="33"/>
      <c r="M630" s="33"/>
      <c r="O630" s="33"/>
      <c r="P630" s="33"/>
      <c r="Q630" s="33"/>
    </row>
    <row r="631" spans="2:17" ht="15.75" customHeight="1" x14ac:dyDescent="0.3">
      <c r="B631" s="33"/>
      <c r="C631" s="33"/>
      <c r="D631" s="33"/>
      <c r="E631" s="33"/>
      <c r="J631" s="33"/>
      <c r="M631" s="33"/>
      <c r="O631" s="33"/>
      <c r="P631" s="33"/>
      <c r="Q631" s="33"/>
    </row>
    <row r="632" spans="2:17" ht="15.75" customHeight="1" x14ac:dyDescent="0.3">
      <c r="B632" s="33"/>
      <c r="C632" s="33"/>
      <c r="D632" s="33"/>
      <c r="E632" s="33"/>
      <c r="J632" s="33"/>
      <c r="M632" s="33"/>
      <c r="O632" s="33"/>
      <c r="P632" s="33"/>
      <c r="Q632" s="33"/>
    </row>
    <row r="633" spans="2:17" ht="15.75" customHeight="1" x14ac:dyDescent="0.3">
      <c r="B633" s="33"/>
      <c r="C633" s="33"/>
      <c r="D633" s="33"/>
      <c r="E633" s="33"/>
      <c r="J633" s="33"/>
      <c r="M633" s="33"/>
      <c r="O633" s="33"/>
      <c r="P633" s="33"/>
      <c r="Q633" s="33"/>
    </row>
    <row r="634" spans="2:17" ht="15.75" customHeight="1" x14ac:dyDescent="0.3">
      <c r="B634" s="33"/>
      <c r="C634" s="33"/>
      <c r="D634" s="33"/>
      <c r="E634" s="33"/>
      <c r="J634" s="33"/>
      <c r="M634" s="33"/>
      <c r="O634" s="33"/>
      <c r="P634" s="33"/>
      <c r="Q634" s="33"/>
    </row>
    <row r="635" spans="2:17" ht="15.75" customHeight="1" x14ac:dyDescent="0.3">
      <c r="B635" s="33"/>
      <c r="C635" s="33"/>
      <c r="D635" s="33"/>
      <c r="E635" s="33"/>
      <c r="J635" s="33"/>
      <c r="M635" s="33"/>
      <c r="O635" s="33"/>
      <c r="P635" s="33"/>
      <c r="Q635" s="33"/>
    </row>
    <row r="636" spans="2:17" ht="15.75" customHeight="1" x14ac:dyDescent="0.3">
      <c r="B636" s="33"/>
      <c r="C636" s="33"/>
      <c r="D636" s="33"/>
      <c r="E636" s="33"/>
      <c r="J636" s="33"/>
      <c r="M636" s="33"/>
      <c r="O636" s="33"/>
      <c r="P636" s="33"/>
      <c r="Q636" s="33"/>
    </row>
    <row r="637" spans="2:17" ht="15.75" customHeight="1" x14ac:dyDescent="0.3">
      <c r="B637" s="33"/>
      <c r="C637" s="33"/>
      <c r="D637" s="33"/>
      <c r="E637" s="33"/>
      <c r="J637" s="33"/>
      <c r="M637" s="33"/>
      <c r="O637" s="33"/>
      <c r="P637" s="33"/>
      <c r="Q637" s="33"/>
    </row>
    <row r="638" spans="2:17" ht="15.75" customHeight="1" x14ac:dyDescent="0.3">
      <c r="B638" s="33"/>
      <c r="C638" s="33"/>
      <c r="D638" s="33"/>
      <c r="E638" s="33"/>
      <c r="J638" s="33"/>
      <c r="M638" s="33"/>
      <c r="O638" s="33"/>
      <c r="P638" s="33"/>
      <c r="Q638" s="33"/>
    </row>
    <row r="639" spans="2:17" ht="15.75" customHeight="1" x14ac:dyDescent="0.3">
      <c r="B639" s="33"/>
      <c r="C639" s="33"/>
      <c r="D639" s="33"/>
      <c r="E639" s="33"/>
      <c r="J639" s="33"/>
      <c r="M639" s="33"/>
      <c r="O639" s="33"/>
      <c r="P639" s="33"/>
      <c r="Q639" s="33"/>
    </row>
    <row r="640" spans="2:17" ht="15.75" customHeight="1" x14ac:dyDescent="0.3">
      <c r="B640" s="33"/>
      <c r="C640" s="33"/>
      <c r="D640" s="33"/>
      <c r="E640" s="33"/>
      <c r="J640" s="33"/>
      <c r="M640" s="33"/>
      <c r="O640" s="33"/>
      <c r="P640" s="33"/>
      <c r="Q640" s="33"/>
    </row>
    <row r="641" spans="2:17" ht="15.75" customHeight="1" x14ac:dyDescent="0.3">
      <c r="B641" s="33"/>
      <c r="C641" s="33"/>
      <c r="D641" s="33"/>
      <c r="E641" s="33"/>
      <c r="J641" s="33"/>
      <c r="M641" s="33"/>
      <c r="O641" s="33"/>
      <c r="P641" s="33"/>
      <c r="Q641" s="33"/>
    </row>
    <row r="642" spans="2:17" ht="15.75" customHeight="1" x14ac:dyDescent="0.3">
      <c r="B642" s="33"/>
      <c r="C642" s="33"/>
      <c r="D642" s="33"/>
      <c r="E642" s="33"/>
      <c r="J642" s="33"/>
      <c r="M642" s="33"/>
      <c r="O642" s="33"/>
      <c r="P642" s="33"/>
      <c r="Q642" s="33"/>
    </row>
    <row r="643" spans="2:17" ht="15.75" customHeight="1" x14ac:dyDescent="0.3">
      <c r="B643" s="33"/>
      <c r="C643" s="33"/>
      <c r="D643" s="33"/>
      <c r="E643" s="33"/>
      <c r="J643" s="33"/>
      <c r="M643" s="33"/>
      <c r="O643" s="33"/>
      <c r="P643" s="33"/>
      <c r="Q643" s="33"/>
    </row>
    <row r="644" spans="2:17" ht="15.75" customHeight="1" x14ac:dyDescent="0.3">
      <c r="B644" s="33"/>
      <c r="C644" s="33"/>
      <c r="D644" s="33"/>
      <c r="E644" s="33"/>
      <c r="J644" s="33"/>
      <c r="M644" s="33"/>
      <c r="O644" s="33"/>
      <c r="P644" s="33"/>
      <c r="Q644" s="33"/>
    </row>
    <row r="645" spans="2:17" ht="15.75" customHeight="1" x14ac:dyDescent="0.3">
      <c r="B645" s="33"/>
      <c r="C645" s="33"/>
      <c r="D645" s="33"/>
      <c r="E645" s="33"/>
      <c r="J645" s="33"/>
      <c r="M645" s="33"/>
      <c r="O645" s="33"/>
      <c r="P645" s="33"/>
      <c r="Q645" s="33"/>
    </row>
    <row r="646" spans="2:17" ht="15.75" customHeight="1" x14ac:dyDescent="0.3">
      <c r="B646" s="33"/>
      <c r="C646" s="33"/>
      <c r="D646" s="33"/>
      <c r="E646" s="33"/>
      <c r="J646" s="33"/>
      <c r="M646" s="33"/>
      <c r="O646" s="33"/>
      <c r="P646" s="33"/>
      <c r="Q646" s="33"/>
    </row>
    <row r="647" spans="2:17" ht="15.75" customHeight="1" x14ac:dyDescent="0.3">
      <c r="B647" s="33"/>
      <c r="C647" s="33"/>
      <c r="D647" s="33"/>
      <c r="E647" s="33"/>
      <c r="J647" s="33"/>
      <c r="M647" s="33"/>
      <c r="O647" s="33"/>
      <c r="P647" s="33"/>
      <c r="Q647" s="33"/>
    </row>
    <row r="648" spans="2:17" ht="15.75" customHeight="1" x14ac:dyDescent="0.3">
      <c r="B648" s="33"/>
      <c r="C648" s="33"/>
      <c r="D648" s="33"/>
      <c r="E648" s="33"/>
      <c r="J648" s="33"/>
      <c r="M648" s="33"/>
      <c r="O648" s="33"/>
      <c r="P648" s="33"/>
      <c r="Q648" s="33"/>
    </row>
    <row r="649" spans="2:17" ht="15.75" customHeight="1" x14ac:dyDescent="0.3">
      <c r="B649" s="33"/>
      <c r="C649" s="33"/>
      <c r="D649" s="33"/>
      <c r="E649" s="33"/>
      <c r="J649" s="33"/>
      <c r="M649" s="33"/>
      <c r="O649" s="33"/>
      <c r="P649" s="33"/>
      <c r="Q649" s="33"/>
    </row>
    <row r="650" spans="2:17" ht="15.75" customHeight="1" x14ac:dyDescent="0.3">
      <c r="B650" s="33"/>
      <c r="C650" s="33"/>
      <c r="D650" s="33"/>
      <c r="E650" s="33"/>
      <c r="J650" s="33"/>
      <c r="M650" s="33"/>
      <c r="O650" s="33"/>
      <c r="P650" s="33"/>
      <c r="Q650" s="33"/>
    </row>
    <row r="651" spans="2:17" ht="15.75" customHeight="1" x14ac:dyDescent="0.3">
      <c r="B651" s="33"/>
      <c r="C651" s="33"/>
      <c r="D651" s="33"/>
      <c r="E651" s="33"/>
      <c r="J651" s="33"/>
      <c r="M651" s="33"/>
      <c r="O651" s="33"/>
      <c r="P651" s="33"/>
      <c r="Q651" s="33"/>
    </row>
    <row r="652" spans="2:17" ht="15.75" customHeight="1" x14ac:dyDescent="0.3">
      <c r="B652" s="33"/>
      <c r="C652" s="33"/>
      <c r="D652" s="33"/>
      <c r="E652" s="33"/>
      <c r="J652" s="33"/>
      <c r="M652" s="33"/>
      <c r="O652" s="33"/>
      <c r="P652" s="33"/>
      <c r="Q652" s="33"/>
    </row>
    <row r="653" spans="2:17" ht="15.75" customHeight="1" x14ac:dyDescent="0.3">
      <c r="B653" s="33"/>
      <c r="C653" s="33"/>
      <c r="D653" s="33"/>
      <c r="E653" s="33"/>
      <c r="J653" s="33"/>
      <c r="M653" s="33"/>
      <c r="O653" s="33"/>
      <c r="P653" s="33"/>
      <c r="Q653" s="33"/>
    </row>
    <row r="654" spans="2:17" ht="15.75" customHeight="1" x14ac:dyDescent="0.3">
      <c r="B654" s="33"/>
      <c r="C654" s="33"/>
      <c r="D654" s="33"/>
      <c r="E654" s="33"/>
      <c r="J654" s="33"/>
      <c r="M654" s="33"/>
      <c r="O654" s="33"/>
      <c r="P654" s="33"/>
      <c r="Q654" s="33"/>
    </row>
    <row r="655" spans="2:17" ht="15.75" customHeight="1" x14ac:dyDescent="0.3">
      <c r="B655" s="33"/>
      <c r="C655" s="33"/>
      <c r="D655" s="33"/>
      <c r="E655" s="33"/>
      <c r="J655" s="33"/>
      <c r="M655" s="33"/>
      <c r="O655" s="33"/>
      <c r="P655" s="33"/>
      <c r="Q655" s="33"/>
    </row>
    <row r="656" spans="2:17" ht="15.75" customHeight="1" x14ac:dyDescent="0.3">
      <c r="B656" s="33"/>
      <c r="C656" s="33"/>
      <c r="D656" s="33"/>
      <c r="E656" s="33"/>
      <c r="J656" s="33"/>
      <c r="M656" s="33"/>
      <c r="O656" s="33"/>
      <c r="P656" s="33"/>
      <c r="Q656" s="33"/>
    </row>
    <row r="657" spans="2:17" ht="15.75" customHeight="1" x14ac:dyDescent="0.3">
      <c r="B657" s="33"/>
      <c r="C657" s="33"/>
      <c r="D657" s="33"/>
      <c r="E657" s="33"/>
      <c r="J657" s="33"/>
      <c r="M657" s="33"/>
      <c r="O657" s="33"/>
      <c r="P657" s="33"/>
      <c r="Q657" s="33"/>
    </row>
    <row r="658" spans="2:17" ht="15.75" customHeight="1" x14ac:dyDescent="0.3">
      <c r="B658" s="33"/>
      <c r="C658" s="33"/>
      <c r="D658" s="33"/>
      <c r="E658" s="33"/>
      <c r="J658" s="33"/>
      <c r="M658" s="33"/>
      <c r="O658" s="33"/>
      <c r="P658" s="33"/>
      <c r="Q658" s="33"/>
    </row>
    <row r="659" spans="2:17" ht="15.75" customHeight="1" x14ac:dyDescent="0.3">
      <c r="B659" s="33"/>
      <c r="C659" s="33"/>
      <c r="D659" s="33"/>
      <c r="E659" s="33"/>
      <c r="J659" s="33"/>
      <c r="M659" s="33"/>
      <c r="O659" s="33"/>
      <c r="P659" s="33"/>
      <c r="Q659" s="33"/>
    </row>
    <row r="660" spans="2:17" ht="15.75" customHeight="1" x14ac:dyDescent="0.3">
      <c r="B660" s="33"/>
      <c r="C660" s="33"/>
      <c r="D660" s="33"/>
      <c r="E660" s="33"/>
      <c r="J660" s="33"/>
      <c r="M660" s="33"/>
      <c r="O660" s="33"/>
      <c r="P660" s="33"/>
      <c r="Q660" s="33"/>
    </row>
    <row r="661" spans="2:17" ht="15.75" customHeight="1" x14ac:dyDescent="0.3">
      <c r="B661" s="33"/>
      <c r="C661" s="33"/>
      <c r="D661" s="33"/>
      <c r="E661" s="33"/>
      <c r="J661" s="33"/>
      <c r="M661" s="33"/>
      <c r="O661" s="33"/>
      <c r="P661" s="33"/>
      <c r="Q661" s="33"/>
    </row>
    <row r="662" spans="2:17" ht="15.75" customHeight="1" x14ac:dyDescent="0.3">
      <c r="B662" s="33"/>
      <c r="C662" s="33"/>
      <c r="D662" s="33"/>
      <c r="E662" s="33"/>
      <c r="J662" s="33"/>
      <c r="M662" s="33"/>
      <c r="O662" s="33"/>
      <c r="P662" s="33"/>
      <c r="Q662" s="33"/>
    </row>
    <row r="663" spans="2:17" ht="15.75" customHeight="1" x14ac:dyDescent="0.3">
      <c r="B663" s="33"/>
      <c r="C663" s="33"/>
      <c r="D663" s="33"/>
      <c r="E663" s="33"/>
      <c r="J663" s="33"/>
      <c r="M663" s="33"/>
      <c r="O663" s="33"/>
      <c r="P663" s="33"/>
      <c r="Q663" s="33"/>
    </row>
    <row r="664" spans="2:17" ht="15.75" customHeight="1" x14ac:dyDescent="0.3">
      <c r="B664" s="33"/>
      <c r="C664" s="33"/>
      <c r="D664" s="33"/>
      <c r="E664" s="33"/>
      <c r="J664" s="33"/>
      <c r="M664" s="33"/>
      <c r="O664" s="33"/>
      <c r="P664" s="33"/>
      <c r="Q664" s="33"/>
    </row>
    <row r="665" spans="2:17" ht="15.75" customHeight="1" x14ac:dyDescent="0.3">
      <c r="B665" s="33"/>
      <c r="C665" s="33"/>
      <c r="D665" s="33"/>
      <c r="E665" s="33"/>
      <c r="J665" s="33"/>
      <c r="M665" s="33"/>
      <c r="O665" s="33"/>
      <c r="P665" s="33"/>
      <c r="Q665" s="33"/>
    </row>
    <row r="666" spans="2:17" ht="15.75" customHeight="1" x14ac:dyDescent="0.3">
      <c r="B666" s="33"/>
      <c r="C666" s="33"/>
      <c r="D666" s="33"/>
      <c r="E666" s="33"/>
      <c r="J666" s="33"/>
      <c r="M666" s="33"/>
      <c r="O666" s="33"/>
      <c r="P666" s="33"/>
      <c r="Q666" s="33"/>
    </row>
    <row r="667" spans="2:17" ht="15.75" customHeight="1" x14ac:dyDescent="0.3">
      <c r="B667" s="33"/>
      <c r="C667" s="33"/>
      <c r="D667" s="33"/>
      <c r="E667" s="33"/>
      <c r="J667" s="33"/>
      <c r="M667" s="33"/>
      <c r="O667" s="33"/>
      <c r="P667" s="33"/>
      <c r="Q667" s="33"/>
    </row>
    <row r="668" spans="2:17" ht="15.75" customHeight="1" x14ac:dyDescent="0.3">
      <c r="B668" s="33"/>
      <c r="C668" s="33"/>
      <c r="D668" s="33"/>
      <c r="E668" s="33"/>
      <c r="J668" s="33"/>
      <c r="M668" s="33"/>
      <c r="O668" s="33"/>
      <c r="P668" s="33"/>
      <c r="Q668" s="33"/>
    </row>
    <row r="669" spans="2:17" ht="15.75" customHeight="1" x14ac:dyDescent="0.3">
      <c r="B669" s="33"/>
      <c r="C669" s="33"/>
      <c r="D669" s="33"/>
      <c r="E669" s="33"/>
      <c r="J669" s="33"/>
      <c r="M669" s="33"/>
      <c r="O669" s="33"/>
      <c r="P669" s="33"/>
      <c r="Q669" s="33"/>
    </row>
    <row r="670" spans="2:17" ht="15.75" customHeight="1" x14ac:dyDescent="0.3">
      <c r="B670" s="33"/>
      <c r="C670" s="33"/>
      <c r="D670" s="33"/>
      <c r="E670" s="33"/>
      <c r="J670" s="33"/>
      <c r="M670" s="33"/>
      <c r="O670" s="33"/>
      <c r="P670" s="33"/>
      <c r="Q670" s="33"/>
    </row>
    <row r="671" spans="2:17" ht="15.75" customHeight="1" x14ac:dyDescent="0.3">
      <c r="B671" s="33"/>
      <c r="C671" s="33"/>
      <c r="D671" s="33"/>
      <c r="E671" s="33"/>
      <c r="J671" s="33"/>
      <c r="M671" s="33"/>
      <c r="O671" s="33"/>
      <c r="P671" s="33"/>
      <c r="Q671" s="33"/>
    </row>
    <row r="672" spans="2:17" ht="15.75" customHeight="1" x14ac:dyDescent="0.3">
      <c r="B672" s="33"/>
      <c r="C672" s="33"/>
      <c r="D672" s="33"/>
      <c r="E672" s="33"/>
      <c r="J672" s="33"/>
      <c r="M672" s="33"/>
      <c r="O672" s="33"/>
      <c r="P672" s="33"/>
      <c r="Q672" s="33"/>
    </row>
    <row r="673" spans="2:17" ht="15.75" customHeight="1" x14ac:dyDescent="0.3">
      <c r="B673" s="33"/>
      <c r="C673" s="33"/>
      <c r="D673" s="33"/>
      <c r="E673" s="33"/>
      <c r="J673" s="33"/>
      <c r="M673" s="33"/>
      <c r="O673" s="33"/>
      <c r="P673" s="33"/>
      <c r="Q673" s="33"/>
    </row>
    <row r="674" spans="2:17" ht="15.75" customHeight="1" x14ac:dyDescent="0.3">
      <c r="B674" s="33"/>
      <c r="C674" s="33"/>
      <c r="D674" s="33"/>
      <c r="E674" s="33"/>
      <c r="J674" s="33"/>
      <c r="M674" s="33"/>
      <c r="O674" s="33"/>
      <c r="P674" s="33"/>
      <c r="Q674" s="33"/>
    </row>
    <row r="675" spans="2:17" ht="15.75" customHeight="1" x14ac:dyDescent="0.3">
      <c r="B675" s="33"/>
      <c r="C675" s="33"/>
      <c r="D675" s="33"/>
      <c r="E675" s="33"/>
      <c r="J675" s="33"/>
      <c r="M675" s="33"/>
      <c r="O675" s="33"/>
      <c r="P675" s="33"/>
      <c r="Q675" s="33"/>
    </row>
    <row r="676" spans="2:17" ht="15.75" customHeight="1" x14ac:dyDescent="0.3">
      <c r="B676" s="33"/>
      <c r="C676" s="33"/>
      <c r="D676" s="33"/>
      <c r="E676" s="33"/>
      <c r="J676" s="33"/>
      <c r="M676" s="33"/>
      <c r="O676" s="33"/>
      <c r="P676" s="33"/>
      <c r="Q676" s="33"/>
    </row>
    <row r="677" spans="2:17" ht="15.75" customHeight="1" x14ac:dyDescent="0.3">
      <c r="B677" s="33"/>
      <c r="C677" s="33"/>
      <c r="D677" s="33"/>
      <c r="E677" s="33"/>
      <c r="J677" s="33"/>
      <c r="M677" s="33"/>
      <c r="O677" s="33"/>
      <c r="P677" s="33"/>
      <c r="Q677" s="33"/>
    </row>
    <row r="678" spans="2:17" ht="15.75" customHeight="1" x14ac:dyDescent="0.3">
      <c r="B678" s="33"/>
      <c r="C678" s="33"/>
      <c r="D678" s="33"/>
      <c r="E678" s="33"/>
      <c r="J678" s="33"/>
      <c r="M678" s="33"/>
      <c r="O678" s="33"/>
      <c r="P678" s="33"/>
      <c r="Q678" s="33"/>
    </row>
    <row r="679" spans="2:17" ht="15.75" customHeight="1" x14ac:dyDescent="0.3">
      <c r="B679" s="33"/>
      <c r="C679" s="33"/>
      <c r="D679" s="33"/>
      <c r="E679" s="33"/>
      <c r="J679" s="33"/>
      <c r="M679" s="33"/>
      <c r="O679" s="33"/>
      <c r="P679" s="33"/>
      <c r="Q679" s="33"/>
    </row>
    <row r="680" spans="2:17" ht="15.75" customHeight="1" x14ac:dyDescent="0.3">
      <c r="B680" s="33"/>
      <c r="C680" s="33"/>
      <c r="D680" s="33"/>
      <c r="E680" s="33"/>
      <c r="J680" s="33"/>
      <c r="M680" s="33"/>
      <c r="O680" s="33"/>
      <c r="P680" s="33"/>
      <c r="Q680" s="33"/>
    </row>
    <row r="681" spans="2:17" ht="15.75" customHeight="1" x14ac:dyDescent="0.3">
      <c r="B681" s="33"/>
      <c r="C681" s="33"/>
      <c r="D681" s="33"/>
      <c r="E681" s="33"/>
      <c r="J681" s="33"/>
      <c r="M681" s="33"/>
      <c r="O681" s="33"/>
      <c r="P681" s="33"/>
      <c r="Q681" s="33"/>
    </row>
    <row r="682" spans="2:17" ht="15.75" customHeight="1" x14ac:dyDescent="0.3">
      <c r="B682" s="33"/>
      <c r="C682" s="33"/>
      <c r="D682" s="33"/>
      <c r="E682" s="33"/>
      <c r="J682" s="33"/>
      <c r="M682" s="33"/>
      <c r="O682" s="33"/>
      <c r="P682" s="33"/>
      <c r="Q682" s="33"/>
    </row>
    <row r="683" spans="2:17" ht="15.75" customHeight="1" x14ac:dyDescent="0.3">
      <c r="B683" s="33"/>
      <c r="C683" s="33"/>
      <c r="D683" s="33"/>
      <c r="E683" s="33"/>
      <c r="J683" s="33"/>
      <c r="M683" s="33"/>
      <c r="O683" s="33"/>
      <c r="P683" s="33"/>
      <c r="Q683" s="33"/>
    </row>
    <row r="684" spans="2:17" ht="15.75" customHeight="1" x14ac:dyDescent="0.3">
      <c r="B684" s="33"/>
      <c r="C684" s="33"/>
      <c r="D684" s="33"/>
      <c r="E684" s="33"/>
      <c r="J684" s="33"/>
      <c r="M684" s="33"/>
      <c r="O684" s="33"/>
      <c r="P684" s="33"/>
      <c r="Q684" s="33"/>
    </row>
    <row r="685" spans="2:17" ht="15.75" customHeight="1" x14ac:dyDescent="0.3">
      <c r="B685" s="33"/>
      <c r="C685" s="33"/>
      <c r="D685" s="33"/>
      <c r="E685" s="33"/>
      <c r="J685" s="33"/>
      <c r="M685" s="33"/>
      <c r="O685" s="33"/>
      <c r="P685" s="33"/>
      <c r="Q685" s="33"/>
    </row>
    <row r="686" spans="2:17" ht="15.75" customHeight="1" x14ac:dyDescent="0.3">
      <c r="B686" s="33"/>
      <c r="C686" s="33"/>
      <c r="D686" s="33"/>
      <c r="E686" s="33"/>
      <c r="J686" s="33"/>
      <c r="M686" s="33"/>
      <c r="O686" s="33"/>
      <c r="P686" s="33"/>
      <c r="Q686" s="33"/>
    </row>
    <row r="687" spans="2:17" ht="15.75" customHeight="1" x14ac:dyDescent="0.3">
      <c r="B687" s="33"/>
      <c r="C687" s="33"/>
      <c r="D687" s="33"/>
      <c r="E687" s="33"/>
      <c r="J687" s="33"/>
      <c r="M687" s="33"/>
      <c r="O687" s="33"/>
      <c r="P687" s="33"/>
      <c r="Q687" s="33"/>
    </row>
    <row r="688" spans="2:17" ht="15.75" customHeight="1" x14ac:dyDescent="0.3">
      <c r="B688" s="33"/>
      <c r="C688" s="33"/>
      <c r="D688" s="33"/>
      <c r="E688" s="33"/>
      <c r="J688" s="33"/>
      <c r="M688" s="33"/>
      <c r="O688" s="33"/>
      <c r="P688" s="33"/>
      <c r="Q688" s="33"/>
    </row>
    <row r="689" spans="2:17" ht="15.75" customHeight="1" x14ac:dyDescent="0.3">
      <c r="B689" s="33"/>
      <c r="C689" s="33"/>
      <c r="D689" s="33"/>
      <c r="E689" s="33"/>
      <c r="J689" s="33"/>
      <c r="M689" s="33"/>
      <c r="O689" s="33"/>
      <c r="P689" s="33"/>
      <c r="Q689" s="33"/>
    </row>
    <row r="690" spans="2:17" ht="15.75" customHeight="1" x14ac:dyDescent="0.3">
      <c r="B690" s="33"/>
      <c r="C690" s="33"/>
      <c r="D690" s="33"/>
      <c r="E690" s="33"/>
      <c r="J690" s="33"/>
      <c r="M690" s="33"/>
      <c r="O690" s="33"/>
      <c r="P690" s="33"/>
      <c r="Q690" s="33"/>
    </row>
    <row r="691" spans="2:17" ht="15.75" customHeight="1" x14ac:dyDescent="0.3">
      <c r="B691" s="33"/>
      <c r="C691" s="33"/>
      <c r="D691" s="33"/>
      <c r="E691" s="33"/>
      <c r="J691" s="33"/>
      <c r="M691" s="33"/>
      <c r="O691" s="33"/>
      <c r="P691" s="33"/>
      <c r="Q691" s="33"/>
    </row>
    <row r="692" spans="2:17" ht="15.75" customHeight="1" x14ac:dyDescent="0.3">
      <c r="B692" s="33"/>
      <c r="C692" s="33"/>
      <c r="D692" s="33"/>
      <c r="E692" s="33"/>
      <c r="J692" s="33"/>
      <c r="M692" s="33"/>
      <c r="O692" s="33"/>
      <c r="P692" s="33"/>
      <c r="Q692" s="33"/>
    </row>
    <row r="693" spans="2:17" ht="15.75" customHeight="1" x14ac:dyDescent="0.3">
      <c r="B693" s="33"/>
      <c r="C693" s="33"/>
      <c r="D693" s="33"/>
      <c r="E693" s="33"/>
      <c r="J693" s="33"/>
      <c r="M693" s="33"/>
      <c r="O693" s="33"/>
      <c r="P693" s="33"/>
      <c r="Q693" s="33"/>
    </row>
    <row r="694" spans="2:17" ht="15.75" customHeight="1" x14ac:dyDescent="0.3">
      <c r="B694" s="33"/>
      <c r="C694" s="33"/>
      <c r="D694" s="33"/>
      <c r="E694" s="33"/>
      <c r="J694" s="33"/>
      <c r="M694" s="33"/>
      <c r="O694" s="33"/>
      <c r="P694" s="33"/>
      <c r="Q694" s="33"/>
    </row>
    <row r="695" spans="2:17" ht="15.75" customHeight="1" x14ac:dyDescent="0.3">
      <c r="B695" s="33"/>
      <c r="C695" s="33"/>
      <c r="D695" s="33"/>
      <c r="E695" s="33"/>
      <c r="J695" s="33"/>
      <c r="M695" s="33"/>
      <c r="O695" s="33"/>
      <c r="P695" s="33"/>
      <c r="Q695" s="33"/>
    </row>
    <row r="696" spans="2:17" ht="15.75" customHeight="1" x14ac:dyDescent="0.3">
      <c r="B696" s="33"/>
      <c r="C696" s="33"/>
      <c r="D696" s="33"/>
      <c r="E696" s="33"/>
      <c r="J696" s="33"/>
      <c r="M696" s="33"/>
      <c r="O696" s="33"/>
      <c r="P696" s="33"/>
      <c r="Q696" s="33"/>
    </row>
    <row r="697" spans="2:17" ht="15.75" customHeight="1" x14ac:dyDescent="0.3">
      <c r="B697" s="33"/>
      <c r="C697" s="33"/>
      <c r="D697" s="33"/>
      <c r="E697" s="33"/>
      <c r="J697" s="33"/>
      <c r="M697" s="33"/>
      <c r="O697" s="33"/>
      <c r="P697" s="33"/>
      <c r="Q697" s="33"/>
    </row>
    <row r="698" spans="2:17" ht="15.75" customHeight="1" x14ac:dyDescent="0.3">
      <c r="B698" s="33"/>
      <c r="C698" s="33"/>
      <c r="D698" s="33"/>
      <c r="E698" s="33"/>
      <c r="J698" s="33"/>
      <c r="M698" s="33"/>
      <c r="O698" s="33"/>
      <c r="P698" s="33"/>
      <c r="Q698" s="33"/>
    </row>
    <row r="699" spans="2:17" ht="15.75" customHeight="1" x14ac:dyDescent="0.3">
      <c r="B699" s="33"/>
      <c r="C699" s="33"/>
      <c r="D699" s="33"/>
      <c r="E699" s="33"/>
      <c r="J699" s="33"/>
      <c r="M699" s="33"/>
      <c r="O699" s="33"/>
      <c r="P699" s="33"/>
      <c r="Q699" s="33"/>
    </row>
    <row r="700" spans="2:17" ht="15.75" customHeight="1" x14ac:dyDescent="0.3">
      <c r="B700" s="33"/>
      <c r="C700" s="33"/>
      <c r="D700" s="33"/>
      <c r="E700" s="33"/>
      <c r="J700" s="33"/>
      <c r="M700" s="33"/>
      <c r="O700" s="33"/>
      <c r="P700" s="33"/>
      <c r="Q700" s="33"/>
    </row>
    <row r="701" spans="2:17" ht="15.75" customHeight="1" x14ac:dyDescent="0.3">
      <c r="B701" s="33"/>
      <c r="C701" s="33"/>
      <c r="D701" s="33"/>
      <c r="E701" s="33"/>
      <c r="J701" s="33"/>
      <c r="M701" s="33"/>
      <c r="O701" s="33"/>
      <c r="P701" s="33"/>
      <c r="Q701" s="33"/>
    </row>
    <row r="702" spans="2:17" ht="15.75" customHeight="1" x14ac:dyDescent="0.3">
      <c r="B702" s="33"/>
      <c r="C702" s="33"/>
      <c r="D702" s="33"/>
      <c r="E702" s="33"/>
      <c r="J702" s="33"/>
      <c r="M702" s="33"/>
      <c r="O702" s="33"/>
      <c r="P702" s="33"/>
      <c r="Q702" s="33"/>
    </row>
    <row r="703" spans="2:17" ht="15.75" customHeight="1" x14ac:dyDescent="0.3">
      <c r="B703" s="33"/>
      <c r="C703" s="33"/>
      <c r="D703" s="33"/>
      <c r="E703" s="33"/>
      <c r="J703" s="33"/>
      <c r="M703" s="33"/>
      <c r="O703" s="33"/>
      <c r="P703" s="33"/>
      <c r="Q703" s="33"/>
    </row>
    <row r="704" spans="2:17" ht="15.75" customHeight="1" x14ac:dyDescent="0.3">
      <c r="B704" s="33"/>
      <c r="C704" s="33"/>
      <c r="D704" s="33"/>
      <c r="E704" s="33"/>
      <c r="J704" s="33"/>
      <c r="M704" s="33"/>
      <c r="O704" s="33"/>
      <c r="P704" s="33"/>
      <c r="Q704" s="33"/>
    </row>
    <row r="705" spans="2:17" ht="15.75" customHeight="1" x14ac:dyDescent="0.3">
      <c r="B705" s="33"/>
      <c r="C705" s="33"/>
      <c r="D705" s="33"/>
      <c r="E705" s="33"/>
      <c r="J705" s="33"/>
      <c r="M705" s="33"/>
      <c r="O705" s="33"/>
      <c r="P705" s="33"/>
      <c r="Q705" s="33"/>
    </row>
    <row r="706" spans="2:17" ht="15.75" customHeight="1" x14ac:dyDescent="0.3">
      <c r="B706" s="33"/>
      <c r="C706" s="33"/>
      <c r="D706" s="33"/>
      <c r="E706" s="33"/>
      <c r="J706" s="33"/>
      <c r="M706" s="33"/>
      <c r="O706" s="33"/>
      <c r="P706" s="33"/>
      <c r="Q706" s="33"/>
    </row>
    <row r="707" spans="2:17" ht="15.75" customHeight="1" x14ac:dyDescent="0.3">
      <c r="B707" s="33"/>
      <c r="C707" s="33"/>
      <c r="D707" s="33"/>
      <c r="E707" s="33"/>
      <c r="J707" s="33"/>
      <c r="M707" s="33"/>
      <c r="O707" s="33"/>
      <c r="P707" s="33"/>
      <c r="Q707" s="33"/>
    </row>
    <row r="708" spans="2:17" ht="15.75" customHeight="1" x14ac:dyDescent="0.3">
      <c r="B708" s="33"/>
      <c r="C708" s="33"/>
      <c r="D708" s="33"/>
      <c r="E708" s="33"/>
      <c r="J708" s="33"/>
      <c r="M708" s="33"/>
      <c r="O708" s="33"/>
      <c r="P708" s="33"/>
      <c r="Q708" s="33"/>
    </row>
    <row r="709" spans="2:17" ht="15.75" customHeight="1" x14ac:dyDescent="0.3">
      <c r="B709" s="33"/>
      <c r="C709" s="33"/>
      <c r="D709" s="33"/>
      <c r="E709" s="33"/>
      <c r="J709" s="33"/>
      <c r="M709" s="33"/>
      <c r="O709" s="33"/>
      <c r="P709" s="33"/>
      <c r="Q709" s="33"/>
    </row>
    <row r="710" spans="2:17" ht="15.75" customHeight="1" x14ac:dyDescent="0.3">
      <c r="B710" s="33"/>
      <c r="C710" s="33"/>
      <c r="D710" s="33"/>
      <c r="E710" s="33"/>
      <c r="J710" s="33"/>
      <c r="M710" s="33"/>
      <c r="O710" s="33"/>
      <c r="P710" s="33"/>
      <c r="Q710" s="33"/>
    </row>
    <row r="711" spans="2:17" ht="15.75" customHeight="1" x14ac:dyDescent="0.3">
      <c r="B711" s="33"/>
      <c r="C711" s="33"/>
      <c r="D711" s="33"/>
      <c r="E711" s="33"/>
      <c r="J711" s="33"/>
      <c r="M711" s="33"/>
      <c r="O711" s="33"/>
      <c r="P711" s="33"/>
      <c r="Q711" s="33"/>
    </row>
    <row r="712" spans="2:17" ht="15.75" customHeight="1" x14ac:dyDescent="0.3">
      <c r="B712" s="33"/>
      <c r="C712" s="33"/>
      <c r="D712" s="33"/>
      <c r="E712" s="33"/>
      <c r="J712" s="33"/>
      <c r="M712" s="33"/>
      <c r="O712" s="33"/>
      <c r="P712" s="33"/>
      <c r="Q712" s="33"/>
    </row>
    <row r="713" spans="2:17" ht="15.75" customHeight="1" x14ac:dyDescent="0.3">
      <c r="B713" s="33"/>
      <c r="C713" s="33"/>
      <c r="D713" s="33"/>
      <c r="E713" s="33"/>
      <c r="J713" s="33"/>
      <c r="M713" s="33"/>
      <c r="O713" s="33"/>
      <c r="P713" s="33"/>
      <c r="Q713" s="33"/>
    </row>
    <row r="714" spans="2:17" ht="15.75" customHeight="1" x14ac:dyDescent="0.3">
      <c r="B714" s="33"/>
      <c r="C714" s="33"/>
      <c r="D714" s="33"/>
      <c r="E714" s="33"/>
      <c r="J714" s="33"/>
      <c r="M714" s="33"/>
      <c r="O714" s="33"/>
      <c r="P714" s="33"/>
      <c r="Q714" s="33"/>
    </row>
    <row r="715" spans="2:17" ht="15.75" customHeight="1" x14ac:dyDescent="0.3">
      <c r="B715" s="33"/>
      <c r="C715" s="33"/>
      <c r="D715" s="33"/>
      <c r="E715" s="33"/>
      <c r="J715" s="33"/>
      <c r="M715" s="33"/>
      <c r="O715" s="33"/>
      <c r="P715" s="33"/>
      <c r="Q715" s="33"/>
    </row>
    <row r="716" spans="2:17" ht="15.75" customHeight="1" x14ac:dyDescent="0.3">
      <c r="B716" s="33"/>
      <c r="C716" s="33"/>
      <c r="D716" s="33"/>
      <c r="E716" s="33"/>
      <c r="J716" s="33"/>
      <c r="M716" s="33"/>
      <c r="O716" s="33"/>
      <c r="P716" s="33"/>
      <c r="Q716" s="33"/>
    </row>
    <row r="717" spans="2:17" ht="15.75" customHeight="1" x14ac:dyDescent="0.3">
      <c r="B717" s="33"/>
      <c r="C717" s="33"/>
      <c r="D717" s="33"/>
      <c r="E717" s="33"/>
      <c r="J717" s="33"/>
      <c r="M717" s="33"/>
      <c r="O717" s="33"/>
      <c r="P717" s="33"/>
      <c r="Q717" s="33"/>
    </row>
    <row r="718" spans="2:17" ht="15.75" customHeight="1" x14ac:dyDescent="0.3">
      <c r="B718" s="33"/>
      <c r="C718" s="33"/>
      <c r="D718" s="33"/>
      <c r="E718" s="33"/>
      <c r="J718" s="33"/>
      <c r="M718" s="33"/>
      <c r="O718" s="33"/>
      <c r="P718" s="33"/>
      <c r="Q718" s="33"/>
    </row>
    <row r="719" spans="2:17" ht="15.75" customHeight="1" x14ac:dyDescent="0.3">
      <c r="B719" s="33"/>
      <c r="C719" s="33"/>
      <c r="D719" s="33"/>
      <c r="E719" s="33"/>
      <c r="J719" s="33"/>
      <c r="M719" s="33"/>
      <c r="O719" s="33"/>
      <c r="P719" s="33"/>
      <c r="Q719" s="33"/>
    </row>
    <row r="720" spans="2:17" ht="15.75" customHeight="1" x14ac:dyDescent="0.3">
      <c r="B720" s="33"/>
      <c r="C720" s="33"/>
      <c r="D720" s="33"/>
      <c r="E720" s="33"/>
      <c r="J720" s="33"/>
      <c r="M720" s="33"/>
      <c r="O720" s="33"/>
      <c r="P720" s="33"/>
      <c r="Q720" s="33"/>
    </row>
    <row r="721" spans="2:17" ht="15.75" customHeight="1" x14ac:dyDescent="0.3">
      <c r="B721" s="33"/>
      <c r="C721" s="33"/>
      <c r="D721" s="33"/>
      <c r="E721" s="33"/>
      <c r="J721" s="33"/>
      <c r="M721" s="33"/>
      <c r="O721" s="33"/>
      <c r="P721" s="33"/>
      <c r="Q721" s="33"/>
    </row>
    <row r="722" spans="2:17" ht="15.75" customHeight="1" x14ac:dyDescent="0.3">
      <c r="B722" s="33"/>
      <c r="C722" s="33"/>
      <c r="D722" s="33"/>
      <c r="E722" s="33"/>
      <c r="J722" s="33"/>
      <c r="M722" s="33"/>
      <c r="O722" s="33"/>
      <c r="P722" s="33"/>
      <c r="Q722" s="33"/>
    </row>
    <row r="723" spans="2:17" ht="15.75" customHeight="1" x14ac:dyDescent="0.3">
      <c r="B723" s="33"/>
      <c r="C723" s="33"/>
      <c r="D723" s="33"/>
      <c r="E723" s="33"/>
      <c r="J723" s="33"/>
      <c r="M723" s="33"/>
      <c r="O723" s="33"/>
      <c r="P723" s="33"/>
      <c r="Q723" s="33"/>
    </row>
    <row r="724" spans="2:17" ht="15.75" customHeight="1" x14ac:dyDescent="0.3">
      <c r="B724" s="33"/>
      <c r="C724" s="33"/>
      <c r="D724" s="33"/>
      <c r="E724" s="33"/>
      <c r="J724" s="33"/>
      <c r="M724" s="33"/>
      <c r="O724" s="33"/>
      <c r="P724" s="33"/>
      <c r="Q724" s="33"/>
    </row>
    <row r="725" spans="2:17" ht="15.75" customHeight="1" x14ac:dyDescent="0.3">
      <c r="B725" s="33"/>
      <c r="C725" s="33"/>
      <c r="D725" s="33"/>
      <c r="E725" s="33"/>
      <c r="J725" s="33"/>
      <c r="M725" s="33"/>
      <c r="O725" s="33"/>
      <c r="P725" s="33"/>
      <c r="Q725" s="33"/>
    </row>
    <row r="726" spans="2:17" ht="15.75" customHeight="1" x14ac:dyDescent="0.3">
      <c r="B726" s="33"/>
      <c r="C726" s="33"/>
      <c r="D726" s="33"/>
      <c r="E726" s="33"/>
      <c r="J726" s="33"/>
      <c r="M726" s="33"/>
      <c r="O726" s="33"/>
      <c r="P726" s="33"/>
      <c r="Q726" s="33"/>
    </row>
    <row r="727" spans="2:17" ht="15.75" customHeight="1" x14ac:dyDescent="0.3">
      <c r="B727" s="33"/>
      <c r="C727" s="33"/>
      <c r="D727" s="33"/>
      <c r="E727" s="33"/>
      <c r="J727" s="33"/>
      <c r="M727" s="33"/>
      <c r="O727" s="33"/>
      <c r="P727" s="33"/>
      <c r="Q727" s="33"/>
    </row>
    <row r="728" spans="2:17" ht="15.75" customHeight="1" x14ac:dyDescent="0.3">
      <c r="B728" s="33"/>
      <c r="C728" s="33"/>
      <c r="D728" s="33"/>
      <c r="E728" s="33"/>
      <c r="J728" s="33"/>
      <c r="M728" s="33"/>
      <c r="O728" s="33"/>
      <c r="P728" s="33"/>
      <c r="Q728" s="33"/>
    </row>
    <row r="729" spans="2:17" ht="15.75" customHeight="1" x14ac:dyDescent="0.3">
      <c r="B729" s="33"/>
      <c r="C729" s="33"/>
      <c r="D729" s="33"/>
      <c r="E729" s="33"/>
      <c r="J729" s="33"/>
      <c r="M729" s="33"/>
      <c r="O729" s="33"/>
      <c r="P729" s="33"/>
      <c r="Q729" s="33"/>
    </row>
    <row r="730" spans="2:17" ht="15.75" customHeight="1" x14ac:dyDescent="0.3">
      <c r="B730" s="33"/>
      <c r="C730" s="33"/>
      <c r="D730" s="33"/>
      <c r="E730" s="33"/>
      <c r="J730" s="33"/>
      <c r="M730" s="33"/>
      <c r="O730" s="33"/>
      <c r="P730" s="33"/>
      <c r="Q730" s="33"/>
    </row>
    <row r="731" spans="2:17" ht="15.75" customHeight="1" x14ac:dyDescent="0.3">
      <c r="B731" s="33"/>
      <c r="C731" s="33"/>
      <c r="D731" s="33"/>
      <c r="E731" s="33"/>
      <c r="J731" s="33"/>
      <c r="M731" s="33"/>
      <c r="O731" s="33"/>
      <c r="P731" s="33"/>
      <c r="Q731" s="33"/>
    </row>
    <row r="732" spans="2:17" ht="15.75" customHeight="1" x14ac:dyDescent="0.3">
      <c r="B732" s="33"/>
      <c r="C732" s="33"/>
      <c r="D732" s="33"/>
      <c r="E732" s="33"/>
      <c r="J732" s="33"/>
      <c r="M732" s="33"/>
      <c r="O732" s="33"/>
      <c r="P732" s="33"/>
      <c r="Q732" s="33"/>
    </row>
    <row r="733" spans="2:17" ht="15.75" customHeight="1" x14ac:dyDescent="0.3">
      <c r="B733" s="33"/>
      <c r="C733" s="33"/>
      <c r="D733" s="33"/>
      <c r="E733" s="33"/>
      <c r="J733" s="33"/>
      <c r="M733" s="33"/>
      <c r="O733" s="33"/>
      <c r="P733" s="33"/>
      <c r="Q733" s="33"/>
    </row>
    <row r="734" spans="2:17" ht="15.75" customHeight="1" x14ac:dyDescent="0.3">
      <c r="B734" s="33"/>
      <c r="C734" s="33"/>
      <c r="D734" s="33"/>
      <c r="E734" s="33"/>
      <c r="J734" s="33"/>
      <c r="M734" s="33"/>
      <c r="O734" s="33"/>
      <c r="P734" s="33"/>
      <c r="Q734" s="33"/>
    </row>
    <row r="735" spans="2:17" ht="15.75" customHeight="1" x14ac:dyDescent="0.3">
      <c r="B735" s="33"/>
      <c r="C735" s="33"/>
      <c r="D735" s="33"/>
      <c r="E735" s="33"/>
      <c r="J735" s="33"/>
      <c r="M735" s="33"/>
      <c r="O735" s="33"/>
      <c r="P735" s="33"/>
      <c r="Q735" s="33"/>
    </row>
    <row r="736" spans="2:17" ht="15.75" customHeight="1" x14ac:dyDescent="0.3">
      <c r="B736" s="33"/>
      <c r="C736" s="33"/>
      <c r="D736" s="33"/>
      <c r="E736" s="33"/>
      <c r="J736" s="33"/>
      <c r="M736" s="33"/>
      <c r="O736" s="33"/>
      <c r="P736" s="33"/>
      <c r="Q736" s="33"/>
    </row>
    <row r="737" spans="2:17" ht="15.75" customHeight="1" x14ac:dyDescent="0.3">
      <c r="B737" s="33"/>
      <c r="C737" s="33"/>
      <c r="D737" s="33"/>
      <c r="E737" s="33"/>
      <c r="J737" s="33"/>
      <c r="M737" s="33"/>
      <c r="O737" s="33"/>
      <c r="P737" s="33"/>
      <c r="Q737" s="33"/>
    </row>
    <row r="738" spans="2:17" ht="15.75" customHeight="1" x14ac:dyDescent="0.3">
      <c r="B738" s="33"/>
      <c r="C738" s="33"/>
      <c r="D738" s="33"/>
      <c r="E738" s="33"/>
      <c r="J738" s="33"/>
      <c r="M738" s="33"/>
      <c r="O738" s="33"/>
      <c r="P738" s="33"/>
      <c r="Q738" s="33"/>
    </row>
    <row r="739" spans="2:17" ht="15.75" customHeight="1" x14ac:dyDescent="0.3">
      <c r="B739" s="33"/>
      <c r="C739" s="33"/>
      <c r="D739" s="33"/>
      <c r="E739" s="33"/>
      <c r="J739" s="33"/>
      <c r="M739" s="33"/>
      <c r="O739" s="33"/>
      <c r="P739" s="33"/>
      <c r="Q739" s="33"/>
    </row>
    <row r="740" spans="2:17" ht="15.75" customHeight="1" x14ac:dyDescent="0.3">
      <c r="B740" s="33"/>
      <c r="C740" s="33"/>
      <c r="D740" s="33"/>
      <c r="E740" s="33"/>
      <c r="J740" s="33"/>
      <c r="M740" s="33"/>
      <c r="O740" s="33"/>
      <c r="P740" s="33"/>
      <c r="Q740" s="33"/>
    </row>
    <row r="741" spans="2:17" ht="15.75" customHeight="1" x14ac:dyDescent="0.3">
      <c r="B741" s="33"/>
      <c r="C741" s="33"/>
      <c r="D741" s="33"/>
      <c r="E741" s="33"/>
      <c r="J741" s="33"/>
      <c r="M741" s="33"/>
      <c r="O741" s="33"/>
      <c r="P741" s="33"/>
      <c r="Q741" s="33"/>
    </row>
    <row r="742" spans="2:17" ht="15.75" customHeight="1" x14ac:dyDescent="0.3">
      <c r="B742" s="33"/>
      <c r="C742" s="33"/>
      <c r="D742" s="33"/>
      <c r="E742" s="33"/>
      <c r="J742" s="33"/>
      <c r="M742" s="33"/>
      <c r="O742" s="33"/>
      <c r="P742" s="33"/>
      <c r="Q742" s="33"/>
    </row>
    <row r="743" spans="2:17" ht="15.75" customHeight="1" x14ac:dyDescent="0.3">
      <c r="B743" s="33"/>
      <c r="C743" s="33"/>
      <c r="D743" s="33"/>
      <c r="E743" s="33"/>
      <c r="J743" s="33"/>
      <c r="M743" s="33"/>
      <c r="O743" s="33"/>
      <c r="P743" s="33"/>
      <c r="Q743" s="33"/>
    </row>
    <row r="744" spans="2:17" ht="15.75" customHeight="1" x14ac:dyDescent="0.3">
      <c r="B744" s="33"/>
      <c r="C744" s="33"/>
      <c r="D744" s="33"/>
      <c r="E744" s="33"/>
      <c r="J744" s="33"/>
      <c r="M744" s="33"/>
      <c r="O744" s="33"/>
      <c r="P744" s="33"/>
      <c r="Q744" s="33"/>
    </row>
    <row r="745" spans="2:17" ht="15.75" customHeight="1" x14ac:dyDescent="0.3">
      <c r="B745" s="33"/>
      <c r="C745" s="33"/>
      <c r="D745" s="33"/>
      <c r="E745" s="33"/>
      <c r="J745" s="33"/>
      <c r="M745" s="33"/>
      <c r="O745" s="33"/>
      <c r="P745" s="33"/>
      <c r="Q745" s="33"/>
    </row>
    <row r="746" spans="2:17" ht="15.75" customHeight="1" x14ac:dyDescent="0.3">
      <c r="B746" s="33"/>
      <c r="C746" s="33"/>
      <c r="D746" s="33"/>
      <c r="E746" s="33"/>
      <c r="J746" s="33"/>
      <c r="M746" s="33"/>
      <c r="O746" s="33"/>
      <c r="P746" s="33"/>
      <c r="Q746" s="33"/>
    </row>
    <row r="747" spans="2:17" ht="15.75" customHeight="1" x14ac:dyDescent="0.3">
      <c r="B747" s="33"/>
      <c r="C747" s="33"/>
      <c r="D747" s="33"/>
      <c r="E747" s="33"/>
      <c r="J747" s="33"/>
      <c r="M747" s="33"/>
      <c r="O747" s="33"/>
      <c r="P747" s="33"/>
      <c r="Q747" s="33"/>
    </row>
    <row r="748" spans="2:17" ht="15.75" customHeight="1" x14ac:dyDescent="0.3">
      <c r="B748" s="33"/>
      <c r="C748" s="33"/>
      <c r="D748" s="33"/>
      <c r="E748" s="33"/>
      <c r="J748" s="33"/>
      <c r="M748" s="33"/>
      <c r="O748" s="33"/>
      <c r="P748" s="33"/>
      <c r="Q748" s="33"/>
    </row>
    <row r="749" spans="2:17" ht="15.75" customHeight="1" x14ac:dyDescent="0.3">
      <c r="B749" s="33"/>
      <c r="C749" s="33"/>
      <c r="D749" s="33"/>
      <c r="E749" s="33"/>
      <c r="J749" s="33"/>
      <c r="M749" s="33"/>
      <c r="O749" s="33"/>
      <c r="P749" s="33"/>
      <c r="Q749" s="33"/>
    </row>
    <row r="750" spans="2:17" ht="15.75" customHeight="1" x14ac:dyDescent="0.3">
      <c r="B750" s="33"/>
      <c r="C750" s="33"/>
      <c r="D750" s="33"/>
      <c r="E750" s="33"/>
      <c r="J750" s="33"/>
      <c r="M750" s="33"/>
      <c r="O750" s="33"/>
      <c r="P750" s="33"/>
      <c r="Q750" s="33"/>
    </row>
    <row r="751" spans="2:17" ht="15.75" customHeight="1" x14ac:dyDescent="0.3">
      <c r="B751" s="33"/>
      <c r="C751" s="33"/>
      <c r="D751" s="33"/>
      <c r="E751" s="33"/>
      <c r="J751" s="33"/>
      <c r="M751" s="33"/>
      <c r="O751" s="33"/>
      <c r="P751" s="33"/>
      <c r="Q751" s="33"/>
    </row>
    <row r="752" spans="2:17" ht="15.75" customHeight="1" x14ac:dyDescent="0.3">
      <c r="B752" s="33"/>
      <c r="C752" s="33"/>
      <c r="D752" s="33"/>
      <c r="E752" s="33"/>
      <c r="J752" s="33"/>
      <c r="M752" s="33"/>
      <c r="O752" s="33"/>
      <c r="P752" s="33"/>
      <c r="Q752" s="33"/>
    </row>
    <row r="753" spans="2:17" ht="15.75" customHeight="1" x14ac:dyDescent="0.3">
      <c r="B753" s="33"/>
      <c r="C753" s="33"/>
      <c r="D753" s="33"/>
      <c r="E753" s="33"/>
      <c r="J753" s="33"/>
      <c r="M753" s="33"/>
      <c r="O753" s="33"/>
      <c r="P753" s="33"/>
      <c r="Q753" s="33"/>
    </row>
    <row r="754" spans="2:17" ht="15.75" customHeight="1" x14ac:dyDescent="0.3">
      <c r="B754" s="33"/>
      <c r="C754" s="33"/>
      <c r="D754" s="33"/>
      <c r="E754" s="33"/>
      <c r="J754" s="33"/>
      <c r="M754" s="33"/>
      <c r="O754" s="33"/>
      <c r="P754" s="33"/>
      <c r="Q754" s="33"/>
    </row>
    <row r="755" spans="2:17" ht="15.75" customHeight="1" x14ac:dyDescent="0.3">
      <c r="B755" s="33"/>
      <c r="C755" s="33"/>
      <c r="D755" s="33"/>
      <c r="E755" s="33"/>
      <c r="J755" s="33"/>
      <c r="M755" s="33"/>
      <c r="O755" s="33"/>
      <c r="P755" s="33"/>
      <c r="Q755" s="33"/>
    </row>
    <row r="756" spans="2:17" ht="15.75" customHeight="1" x14ac:dyDescent="0.3">
      <c r="B756" s="33"/>
      <c r="C756" s="33"/>
      <c r="D756" s="33"/>
      <c r="E756" s="33"/>
      <c r="J756" s="33"/>
      <c r="M756" s="33"/>
      <c r="O756" s="33"/>
      <c r="P756" s="33"/>
      <c r="Q756" s="33"/>
    </row>
    <row r="757" spans="2:17" ht="15.75" customHeight="1" x14ac:dyDescent="0.3">
      <c r="B757" s="33"/>
      <c r="C757" s="33"/>
      <c r="D757" s="33"/>
      <c r="E757" s="33"/>
      <c r="J757" s="33"/>
      <c r="M757" s="33"/>
      <c r="O757" s="33"/>
      <c r="P757" s="33"/>
      <c r="Q757" s="33"/>
    </row>
    <row r="758" spans="2:17" ht="15.75" customHeight="1" x14ac:dyDescent="0.3">
      <c r="B758" s="33"/>
      <c r="C758" s="33"/>
      <c r="D758" s="33"/>
      <c r="E758" s="33"/>
      <c r="J758" s="33"/>
      <c r="M758" s="33"/>
      <c r="O758" s="33"/>
      <c r="P758" s="33"/>
      <c r="Q758" s="33"/>
    </row>
    <row r="759" spans="2:17" ht="15.75" customHeight="1" x14ac:dyDescent="0.3">
      <c r="B759" s="33"/>
      <c r="C759" s="33"/>
      <c r="D759" s="33"/>
      <c r="E759" s="33"/>
      <c r="J759" s="33"/>
      <c r="M759" s="33"/>
      <c r="O759" s="33"/>
      <c r="P759" s="33"/>
      <c r="Q759" s="33"/>
    </row>
    <row r="760" spans="2:17" ht="15.75" customHeight="1" x14ac:dyDescent="0.3">
      <c r="B760" s="33"/>
      <c r="C760" s="33"/>
      <c r="D760" s="33"/>
      <c r="E760" s="33"/>
      <c r="J760" s="33"/>
      <c r="M760" s="33"/>
      <c r="O760" s="33"/>
      <c r="P760" s="33"/>
      <c r="Q760" s="33"/>
    </row>
    <row r="761" spans="2:17" ht="15.75" customHeight="1" x14ac:dyDescent="0.3">
      <c r="B761" s="33"/>
      <c r="C761" s="33"/>
      <c r="D761" s="33"/>
      <c r="E761" s="33"/>
      <c r="J761" s="33"/>
      <c r="M761" s="33"/>
      <c r="O761" s="33"/>
      <c r="P761" s="33"/>
      <c r="Q761" s="33"/>
    </row>
    <row r="762" spans="2:17" ht="15.75" customHeight="1" x14ac:dyDescent="0.3">
      <c r="B762" s="33"/>
      <c r="C762" s="33"/>
      <c r="D762" s="33"/>
      <c r="E762" s="33"/>
      <c r="J762" s="33"/>
      <c r="M762" s="33"/>
      <c r="O762" s="33"/>
      <c r="P762" s="33"/>
      <c r="Q762" s="33"/>
    </row>
    <row r="763" spans="2:17" ht="15.75" customHeight="1" x14ac:dyDescent="0.3">
      <c r="B763" s="33"/>
      <c r="C763" s="33"/>
      <c r="D763" s="33"/>
      <c r="E763" s="33"/>
      <c r="J763" s="33"/>
      <c r="M763" s="33"/>
      <c r="O763" s="33"/>
      <c r="P763" s="33"/>
      <c r="Q763" s="33"/>
    </row>
    <row r="764" spans="2:17" ht="15.75" customHeight="1" x14ac:dyDescent="0.3">
      <c r="B764" s="33"/>
      <c r="C764" s="33"/>
      <c r="D764" s="33"/>
      <c r="E764" s="33"/>
      <c r="J764" s="33"/>
      <c r="M764" s="33"/>
      <c r="O764" s="33"/>
      <c r="P764" s="33"/>
      <c r="Q764" s="33"/>
    </row>
    <row r="765" spans="2:17" ht="15.75" customHeight="1" x14ac:dyDescent="0.3">
      <c r="B765" s="33"/>
      <c r="C765" s="33"/>
      <c r="D765" s="33"/>
      <c r="E765" s="33"/>
      <c r="J765" s="33"/>
      <c r="M765" s="33"/>
      <c r="O765" s="33"/>
      <c r="P765" s="33"/>
      <c r="Q765" s="33"/>
    </row>
    <row r="766" spans="2:17" ht="15.75" customHeight="1" x14ac:dyDescent="0.3">
      <c r="B766" s="33"/>
      <c r="C766" s="33"/>
      <c r="D766" s="33"/>
      <c r="E766" s="33"/>
      <c r="J766" s="33"/>
      <c r="M766" s="33"/>
      <c r="O766" s="33"/>
      <c r="P766" s="33"/>
      <c r="Q766" s="33"/>
    </row>
    <row r="767" spans="2:17" ht="15.75" customHeight="1" x14ac:dyDescent="0.3">
      <c r="B767" s="33"/>
      <c r="C767" s="33"/>
      <c r="D767" s="33"/>
      <c r="E767" s="33"/>
      <c r="J767" s="33"/>
      <c r="M767" s="33"/>
      <c r="O767" s="33"/>
      <c r="P767" s="33"/>
      <c r="Q767" s="33"/>
    </row>
    <row r="768" spans="2:17" ht="15.75" customHeight="1" x14ac:dyDescent="0.3">
      <c r="B768" s="33"/>
      <c r="C768" s="33"/>
      <c r="D768" s="33"/>
      <c r="E768" s="33"/>
      <c r="J768" s="33"/>
      <c r="M768" s="33"/>
      <c r="O768" s="33"/>
      <c r="P768" s="33"/>
      <c r="Q768" s="33"/>
    </row>
    <row r="769" spans="2:17" ht="15.75" customHeight="1" x14ac:dyDescent="0.3">
      <c r="B769" s="33"/>
      <c r="C769" s="33"/>
      <c r="D769" s="33"/>
      <c r="E769" s="33"/>
      <c r="J769" s="33"/>
      <c r="M769" s="33"/>
      <c r="O769" s="33"/>
      <c r="P769" s="33"/>
      <c r="Q769" s="33"/>
    </row>
    <row r="770" spans="2:17" ht="15.75" customHeight="1" x14ac:dyDescent="0.3">
      <c r="B770" s="33"/>
      <c r="C770" s="33"/>
      <c r="D770" s="33"/>
      <c r="E770" s="33"/>
      <c r="J770" s="33"/>
      <c r="M770" s="33"/>
      <c r="O770" s="33"/>
      <c r="P770" s="33"/>
      <c r="Q770" s="33"/>
    </row>
    <row r="771" spans="2:17" ht="15.75" customHeight="1" x14ac:dyDescent="0.3">
      <c r="B771" s="33"/>
      <c r="C771" s="33"/>
      <c r="D771" s="33"/>
      <c r="E771" s="33"/>
      <c r="J771" s="33"/>
      <c r="M771" s="33"/>
      <c r="O771" s="33"/>
      <c r="P771" s="33"/>
      <c r="Q771" s="33"/>
    </row>
    <row r="772" spans="2:17" ht="15.75" customHeight="1" x14ac:dyDescent="0.3">
      <c r="B772" s="33"/>
      <c r="C772" s="33"/>
      <c r="D772" s="33"/>
      <c r="E772" s="33"/>
      <c r="J772" s="33"/>
      <c r="M772" s="33"/>
      <c r="O772" s="33"/>
      <c r="P772" s="33"/>
      <c r="Q772" s="33"/>
    </row>
    <row r="773" spans="2:17" ht="15.75" customHeight="1" x14ac:dyDescent="0.3">
      <c r="B773" s="33"/>
      <c r="C773" s="33"/>
      <c r="D773" s="33"/>
      <c r="E773" s="33"/>
      <c r="J773" s="33"/>
      <c r="M773" s="33"/>
      <c r="O773" s="33"/>
      <c r="P773" s="33"/>
      <c r="Q773" s="33"/>
    </row>
    <row r="774" spans="2:17" ht="15.75" customHeight="1" x14ac:dyDescent="0.3">
      <c r="B774" s="33"/>
      <c r="C774" s="33"/>
      <c r="D774" s="33"/>
      <c r="E774" s="33"/>
      <c r="J774" s="33"/>
      <c r="M774" s="33"/>
      <c r="O774" s="33"/>
      <c r="P774" s="33"/>
      <c r="Q774" s="33"/>
    </row>
    <row r="775" spans="2:17" ht="15.75" customHeight="1" x14ac:dyDescent="0.3">
      <c r="B775" s="33"/>
      <c r="C775" s="33"/>
      <c r="D775" s="33"/>
      <c r="E775" s="33"/>
      <c r="J775" s="33"/>
      <c r="M775" s="33"/>
      <c r="O775" s="33"/>
      <c r="P775" s="33"/>
      <c r="Q775" s="33"/>
    </row>
    <row r="776" spans="2:17" ht="15.75" customHeight="1" x14ac:dyDescent="0.3">
      <c r="B776" s="33"/>
      <c r="C776" s="33"/>
      <c r="D776" s="33"/>
      <c r="E776" s="33"/>
      <c r="J776" s="33"/>
      <c r="M776" s="33"/>
      <c r="O776" s="33"/>
      <c r="P776" s="33"/>
      <c r="Q776" s="33"/>
    </row>
    <row r="777" spans="2:17" ht="15.75" customHeight="1" x14ac:dyDescent="0.3">
      <c r="B777" s="33"/>
      <c r="C777" s="33"/>
      <c r="D777" s="33"/>
      <c r="E777" s="33"/>
      <c r="J777" s="33"/>
      <c r="M777" s="33"/>
      <c r="O777" s="33"/>
      <c r="P777" s="33"/>
      <c r="Q777" s="33"/>
    </row>
    <row r="778" spans="2:17" ht="15.75" customHeight="1" x14ac:dyDescent="0.3">
      <c r="B778" s="33"/>
      <c r="C778" s="33"/>
      <c r="D778" s="33"/>
      <c r="E778" s="33"/>
      <c r="J778" s="33"/>
      <c r="M778" s="33"/>
      <c r="O778" s="33"/>
      <c r="P778" s="33"/>
      <c r="Q778" s="33"/>
    </row>
    <row r="779" spans="2:17" ht="15.75" customHeight="1" x14ac:dyDescent="0.3">
      <c r="B779" s="33"/>
      <c r="C779" s="33"/>
      <c r="D779" s="33"/>
      <c r="E779" s="33"/>
      <c r="J779" s="33"/>
      <c r="M779" s="33"/>
      <c r="O779" s="33"/>
      <c r="P779" s="33"/>
      <c r="Q779" s="33"/>
    </row>
    <row r="780" spans="2:17" ht="15.75" customHeight="1" x14ac:dyDescent="0.3">
      <c r="B780" s="33"/>
      <c r="C780" s="33"/>
      <c r="D780" s="33"/>
      <c r="E780" s="33"/>
      <c r="J780" s="33"/>
      <c r="M780" s="33"/>
      <c r="O780" s="33"/>
      <c r="P780" s="33"/>
      <c r="Q780" s="33"/>
    </row>
    <row r="781" spans="2:17" ht="15.75" customHeight="1" x14ac:dyDescent="0.3">
      <c r="B781" s="33"/>
      <c r="C781" s="33"/>
      <c r="D781" s="33"/>
      <c r="E781" s="33"/>
      <c r="J781" s="33"/>
      <c r="M781" s="33"/>
      <c r="O781" s="33"/>
      <c r="P781" s="33"/>
      <c r="Q781" s="33"/>
    </row>
    <row r="782" spans="2:17" ht="15.75" customHeight="1" x14ac:dyDescent="0.3">
      <c r="B782" s="33"/>
      <c r="C782" s="33"/>
      <c r="D782" s="33"/>
      <c r="E782" s="33"/>
      <c r="J782" s="33"/>
      <c r="M782" s="33"/>
      <c r="O782" s="33"/>
      <c r="P782" s="33"/>
      <c r="Q782" s="33"/>
    </row>
    <row r="783" spans="2:17" ht="15.75" customHeight="1" x14ac:dyDescent="0.3">
      <c r="B783" s="33"/>
      <c r="C783" s="33"/>
      <c r="D783" s="33"/>
      <c r="E783" s="33"/>
      <c r="J783" s="33"/>
      <c r="M783" s="33"/>
      <c r="O783" s="33"/>
      <c r="P783" s="33"/>
      <c r="Q783" s="33"/>
    </row>
    <row r="784" spans="2:17" ht="15.75" customHeight="1" x14ac:dyDescent="0.3">
      <c r="B784" s="33"/>
      <c r="C784" s="33"/>
      <c r="D784" s="33"/>
      <c r="E784" s="33"/>
      <c r="J784" s="33"/>
      <c r="M784" s="33"/>
      <c r="O784" s="33"/>
      <c r="P784" s="33"/>
      <c r="Q784" s="33"/>
    </row>
    <row r="785" spans="2:17" ht="15.75" customHeight="1" x14ac:dyDescent="0.3">
      <c r="B785" s="33"/>
      <c r="C785" s="33"/>
      <c r="D785" s="33"/>
      <c r="E785" s="33"/>
      <c r="J785" s="33"/>
      <c r="M785" s="33"/>
      <c r="O785" s="33"/>
      <c r="P785" s="33"/>
      <c r="Q785" s="33"/>
    </row>
    <row r="786" spans="2:17" ht="15.75" customHeight="1" x14ac:dyDescent="0.3">
      <c r="B786" s="33"/>
      <c r="C786" s="33"/>
      <c r="D786" s="33"/>
      <c r="E786" s="33"/>
      <c r="J786" s="33"/>
      <c r="M786" s="33"/>
      <c r="O786" s="33"/>
      <c r="P786" s="33"/>
      <c r="Q786" s="33"/>
    </row>
    <row r="787" spans="2:17" ht="15.75" customHeight="1" x14ac:dyDescent="0.3">
      <c r="B787" s="33"/>
      <c r="C787" s="33"/>
      <c r="D787" s="33"/>
      <c r="E787" s="33"/>
      <c r="J787" s="33"/>
      <c r="M787" s="33"/>
      <c r="O787" s="33"/>
      <c r="P787" s="33"/>
      <c r="Q787" s="33"/>
    </row>
    <row r="788" spans="2:17" ht="15.75" customHeight="1" x14ac:dyDescent="0.3">
      <c r="B788" s="33"/>
      <c r="C788" s="33"/>
      <c r="D788" s="33"/>
      <c r="E788" s="33"/>
      <c r="J788" s="33"/>
      <c r="M788" s="33"/>
      <c r="O788" s="33"/>
      <c r="P788" s="33"/>
      <c r="Q788" s="33"/>
    </row>
    <row r="789" spans="2:17" ht="15.75" customHeight="1" x14ac:dyDescent="0.3">
      <c r="B789" s="33"/>
      <c r="C789" s="33"/>
      <c r="D789" s="33"/>
      <c r="E789" s="33"/>
      <c r="J789" s="33"/>
      <c r="M789" s="33"/>
      <c r="O789" s="33"/>
      <c r="P789" s="33"/>
      <c r="Q789" s="33"/>
    </row>
    <row r="790" spans="2:17" ht="15.75" customHeight="1" x14ac:dyDescent="0.3">
      <c r="B790" s="33"/>
      <c r="C790" s="33"/>
      <c r="D790" s="33"/>
      <c r="E790" s="33"/>
      <c r="J790" s="33"/>
      <c r="M790" s="33"/>
      <c r="O790" s="33"/>
      <c r="P790" s="33"/>
      <c r="Q790" s="33"/>
    </row>
    <row r="791" spans="2:17" ht="15.75" customHeight="1" x14ac:dyDescent="0.3">
      <c r="B791" s="33"/>
      <c r="C791" s="33"/>
      <c r="D791" s="33"/>
      <c r="E791" s="33"/>
      <c r="J791" s="33"/>
      <c r="M791" s="33"/>
      <c r="O791" s="33"/>
      <c r="P791" s="33"/>
      <c r="Q791" s="33"/>
    </row>
    <row r="792" spans="2:17" ht="15.75" customHeight="1" x14ac:dyDescent="0.3">
      <c r="B792" s="33"/>
      <c r="C792" s="33"/>
      <c r="D792" s="33"/>
      <c r="E792" s="33"/>
      <c r="J792" s="33"/>
      <c r="M792" s="33"/>
      <c r="O792" s="33"/>
      <c r="P792" s="33"/>
      <c r="Q792" s="33"/>
    </row>
    <row r="793" spans="2:17" ht="15.75" customHeight="1" x14ac:dyDescent="0.3">
      <c r="B793" s="33"/>
      <c r="C793" s="33"/>
      <c r="D793" s="33"/>
      <c r="E793" s="33"/>
      <c r="J793" s="33"/>
      <c r="M793" s="33"/>
      <c r="O793" s="33"/>
      <c r="P793" s="33"/>
      <c r="Q793" s="33"/>
    </row>
    <row r="794" spans="2:17" ht="15.75" customHeight="1" x14ac:dyDescent="0.3">
      <c r="B794" s="33"/>
      <c r="C794" s="33"/>
      <c r="D794" s="33"/>
      <c r="E794" s="33"/>
      <c r="J794" s="33"/>
      <c r="M794" s="33"/>
      <c r="O794" s="33"/>
      <c r="P794" s="33"/>
      <c r="Q794" s="33"/>
    </row>
    <row r="795" spans="2:17" ht="15.75" customHeight="1" x14ac:dyDescent="0.3">
      <c r="B795" s="33"/>
      <c r="C795" s="33"/>
      <c r="D795" s="33"/>
      <c r="E795" s="33"/>
      <c r="J795" s="33"/>
      <c r="M795" s="33"/>
      <c r="O795" s="33"/>
      <c r="P795" s="33"/>
      <c r="Q795" s="33"/>
    </row>
    <row r="796" spans="2:17" ht="15.75" customHeight="1" x14ac:dyDescent="0.3">
      <c r="B796" s="33"/>
      <c r="C796" s="33"/>
      <c r="D796" s="33"/>
      <c r="E796" s="33"/>
      <c r="J796" s="33"/>
      <c r="M796" s="33"/>
      <c r="O796" s="33"/>
      <c r="P796" s="33"/>
      <c r="Q796" s="33"/>
    </row>
    <row r="797" spans="2:17" ht="15.75" customHeight="1" x14ac:dyDescent="0.3">
      <c r="B797" s="33"/>
      <c r="C797" s="33"/>
      <c r="D797" s="33"/>
      <c r="E797" s="33"/>
      <c r="J797" s="33"/>
      <c r="M797" s="33"/>
      <c r="O797" s="33"/>
      <c r="P797" s="33"/>
      <c r="Q797" s="33"/>
    </row>
    <row r="798" spans="2:17" ht="15.75" customHeight="1" x14ac:dyDescent="0.3">
      <c r="B798" s="33"/>
      <c r="C798" s="33"/>
      <c r="D798" s="33"/>
      <c r="E798" s="33"/>
      <c r="J798" s="33"/>
      <c r="M798" s="33"/>
      <c r="O798" s="33"/>
      <c r="P798" s="33"/>
      <c r="Q798" s="33"/>
    </row>
    <row r="799" spans="2:17" ht="15.75" customHeight="1" x14ac:dyDescent="0.3">
      <c r="B799" s="33"/>
      <c r="C799" s="33"/>
      <c r="D799" s="33"/>
      <c r="E799" s="33"/>
      <c r="J799" s="33"/>
      <c r="M799" s="33"/>
      <c r="O799" s="33"/>
      <c r="P799" s="33"/>
      <c r="Q799" s="33"/>
    </row>
    <row r="800" spans="2:17" ht="15.75" customHeight="1" x14ac:dyDescent="0.3">
      <c r="B800" s="33"/>
      <c r="C800" s="33"/>
      <c r="D800" s="33"/>
      <c r="E800" s="33"/>
      <c r="J800" s="33"/>
      <c r="M800" s="33"/>
      <c r="O800" s="33"/>
      <c r="P800" s="33"/>
      <c r="Q800" s="33"/>
    </row>
    <row r="801" spans="2:17" ht="15.75" customHeight="1" x14ac:dyDescent="0.3">
      <c r="B801" s="33"/>
      <c r="C801" s="33"/>
      <c r="D801" s="33"/>
      <c r="E801" s="33"/>
      <c r="J801" s="33"/>
      <c r="M801" s="33"/>
      <c r="O801" s="33"/>
      <c r="P801" s="33"/>
      <c r="Q801" s="33"/>
    </row>
    <row r="802" spans="2:17" ht="15.75" customHeight="1" x14ac:dyDescent="0.3">
      <c r="B802" s="33"/>
      <c r="C802" s="33"/>
      <c r="D802" s="33"/>
      <c r="E802" s="33"/>
      <c r="J802" s="33"/>
      <c r="M802" s="33"/>
      <c r="O802" s="33"/>
      <c r="P802" s="33"/>
      <c r="Q802" s="33"/>
    </row>
    <row r="803" spans="2:17" ht="15.75" customHeight="1" x14ac:dyDescent="0.3">
      <c r="B803" s="33"/>
      <c r="C803" s="33"/>
      <c r="D803" s="33"/>
      <c r="E803" s="33"/>
      <c r="J803" s="33"/>
      <c r="M803" s="33"/>
      <c r="O803" s="33"/>
      <c r="P803" s="33"/>
      <c r="Q803" s="33"/>
    </row>
    <row r="804" spans="2:17" ht="15.75" customHeight="1" x14ac:dyDescent="0.3">
      <c r="B804" s="33"/>
      <c r="C804" s="33"/>
      <c r="D804" s="33"/>
      <c r="E804" s="33"/>
      <c r="J804" s="33"/>
      <c r="M804" s="33"/>
      <c r="O804" s="33"/>
      <c r="P804" s="33"/>
      <c r="Q804" s="33"/>
    </row>
    <row r="805" spans="2:17" ht="15.75" customHeight="1" x14ac:dyDescent="0.3">
      <c r="B805" s="33"/>
      <c r="C805" s="33"/>
      <c r="D805" s="33"/>
      <c r="E805" s="33"/>
      <c r="J805" s="33"/>
      <c r="M805" s="33"/>
      <c r="O805" s="33"/>
      <c r="P805" s="33"/>
      <c r="Q805" s="33"/>
    </row>
    <row r="806" spans="2:17" ht="15.75" customHeight="1" x14ac:dyDescent="0.3">
      <c r="B806" s="33"/>
      <c r="C806" s="33"/>
      <c r="D806" s="33"/>
      <c r="E806" s="33"/>
      <c r="J806" s="33"/>
      <c r="M806" s="33"/>
      <c r="O806" s="33"/>
      <c r="P806" s="33"/>
      <c r="Q806" s="33"/>
    </row>
    <row r="807" spans="2:17" ht="15.75" customHeight="1" x14ac:dyDescent="0.3">
      <c r="B807" s="33"/>
      <c r="C807" s="33"/>
      <c r="D807" s="33"/>
      <c r="E807" s="33"/>
      <c r="J807" s="33"/>
      <c r="M807" s="33"/>
      <c r="O807" s="33"/>
      <c r="P807" s="33"/>
      <c r="Q807" s="33"/>
    </row>
    <row r="808" spans="2:17" ht="15.75" customHeight="1" x14ac:dyDescent="0.3">
      <c r="B808" s="33"/>
      <c r="C808" s="33"/>
      <c r="D808" s="33"/>
      <c r="E808" s="33"/>
      <c r="J808" s="33"/>
      <c r="M808" s="33"/>
      <c r="O808" s="33"/>
      <c r="P808" s="33"/>
      <c r="Q808" s="33"/>
    </row>
    <row r="809" spans="2:17" ht="15.75" customHeight="1" x14ac:dyDescent="0.3">
      <c r="B809" s="33"/>
      <c r="C809" s="33"/>
      <c r="D809" s="33"/>
      <c r="E809" s="33"/>
      <c r="J809" s="33"/>
      <c r="M809" s="33"/>
      <c r="O809" s="33"/>
      <c r="P809" s="33"/>
      <c r="Q809" s="33"/>
    </row>
    <row r="810" spans="2:17" ht="15.75" customHeight="1" x14ac:dyDescent="0.3">
      <c r="B810" s="33"/>
      <c r="C810" s="33"/>
      <c r="D810" s="33"/>
      <c r="E810" s="33"/>
      <c r="J810" s="33"/>
      <c r="M810" s="33"/>
      <c r="O810" s="33"/>
      <c r="P810" s="33"/>
      <c r="Q810" s="33"/>
    </row>
    <row r="811" spans="2:17" ht="15.75" customHeight="1" x14ac:dyDescent="0.3">
      <c r="B811" s="33"/>
      <c r="C811" s="33"/>
      <c r="D811" s="33"/>
      <c r="E811" s="33"/>
      <c r="J811" s="33"/>
      <c r="M811" s="33"/>
      <c r="O811" s="33"/>
      <c r="P811" s="33"/>
      <c r="Q811" s="33"/>
    </row>
    <row r="812" spans="2:17" ht="15.75" customHeight="1" x14ac:dyDescent="0.3">
      <c r="B812" s="33"/>
      <c r="C812" s="33"/>
      <c r="D812" s="33"/>
      <c r="E812" s="33"/>
      <c r="J812" s="33"/>
      <c r="M812" s="33"/>
      <c r="O812" s="33"/>
      <c r="P812" s="33"/>
      <c r="Q812" s="33"/>
    </row>
    <row r="813" spans="2:17" ht="15.75" customHeight="1" x14ac:dyDescent="0.3">
      <c r="B813" s="33"/>
      <c r="C813" s="33"/>
      <c r="D813" s="33"/>
      <c r="E813" s="33"/>
      <c r="J813" s="33"/>
      <c r="M813" s="33"/>
      <c r="O813" s="33"/>
      <c r="P813" s="33"/>
      <c r="Q813" s="33"/>
    </row>
    <row r="814" spans="2:17" ht="15.75" customHeight="1" x14ac:dyDescent="0.3">
      <c r="B814" s="33"/>
      <c r="C814" s="33"/>
      <c r="D814" s="33"/>
      <c r="E814" s="33"/>
      <c r="J814" s="33"/>
      <c r="M814" s="33"/>
      <c r="O814" s="33"/>
      <c r="P814" s="33"/>
      <c r="Q814" s="33"/>
    </row>
    <row r="815" spans="2:17" ht="15.75" customHeight="1" x14ac:dyDescent="0.3">
      <c r="B815" s="33"/>
      <c r="C815" s="33"/>
      <c r="D815" s="33"/>
      <c r="E815" s="33"/>
      <c r="J815" s="33"/>
      <c r="M815" s="33"/>
      <c r="O815" s="33"/>
      <c r="P815" s="33"/>
      <c r="Q815" s="33"/>
    </row>
    <row r="816" spans="2:17" ht="15.75" customHeight="1" x14ac:dyDescent="0.3">
      <c r="B816" s="33"/>
      <c r="C816" s="33"/>
      <c r="D816" s="33"/>
      <c r="E816" s="33"/>
      <c r="J816" s="33"/>
      <c r="M816" s="33"/>
      <c r="O816" s="33"/>
      <c r="P816" s="33"/>
      <c r="Q816" s="33"/>
    </row>
    <row r="817" spans="2:17" ht="15.75" customHeight="1" x14ac:dyDescent="0.3">
      <c r="B817" s="33"/>
      <c r="C817" s="33"/>
      <c r="D817" s="33"/>
      <c r="E817" s="33"/>
      <c r="J817" s="33"/>
      <c r="M817" s="33"/>
      <c r="O817" s="33"/>
      <c r="P817" s="33"/>
      <c r="Q817" s="33"/>
    </row>
    <row r="818" spans="2:17" ht="15.75" customHeight="1" x14ac:dyDescent="0.3">
      <c r="B818" s="33"/>
      <c r="C818" s="33"/>
      <c r="D818" s="33"/>
      <c r="E818" s="33"/>
      <c r="J818" s="33"/>
      <c r="M818" s="33"/>
      <c r="O818" s="33"/>
      <c r="P818" s="33"/>
      <c r="Q818" s="33"/>
    </row>
    <row r="819" spans="2:17" ht="15.75" customHeight="1" x14ac:dyDescent="0.3">
      <c r="B819" s="33"/>
      <c r="C819" s="33"/>
      <c r="D819" s="33"/>
      <c r="E819" s="33"/>
      <c r="J819" s="33"/>
      <c r="M819" s="33"/>
      <c r="O819" s="33"/>
      <c r="P819" s="33"/>
      <c r="Q819" s="33"/>
    </row>
    <row r="820" spans="2:17" ht="15.75" customHeight="1" x14ac:dyDescent="0.3">
      <c r="B820" s="33"/>
      <c r="C820" s="33"/>
      <c r="D820" s="33"/>
      <c r="E820" s="33"/>
      <c r="J820" s="33"/>
      <c r="M820" s="33"/>
      <c r="O820" s="33"/>
      <c r="P820" s="33"/>
      <c r="Q820" s="33"/>
    </row>
    <row r="821" spans="2:17" ht="15.75" customHeight="1" x14ac:dyDescent="0.3">
      <c r="B821" s="33"/>
      <c r="C821" s="33"/>
      <c r="D821" s="33"/>
      <c r="E821" s="33"/>
      <c r="J821" s="33"/>
      <c r="M821" s="33"/>
      <c r="O821" s="33"/>
      <c r="P821" s="33"/>
      <c r="Q821" s="33"/>
    </row>
    <row r="822" spans="2:17" ht="15.75" customHeight="1" x14ac:dyDescent="0.3">
      <c r="B822" s="33"/>
      <c r="C822" s="33"/>
      <c r="D822" s="33"/>
      <c r="E822" s="33"/>
      <c r="J822" s="33"/>
      <c r="M822" s="33"/>
      <c r="O822" s="33"/>
      <c r="P822" s="33"/>
      <c r="Q822" s="33"/>
    </row>
    <row r="823" spans="2:17" ht="15.75" customHeight="1" x14ac:dyDescent="0.3">
      <c r="B823" s="33"/>
      <c r="C823" s="33"/>
      <c r="D823" s="33"/>
      <c r="E823" s="33"/>
      <c r="J823" s="33"/>
      <c r="M823" s="33"/>
      <c r="O823" s="33"/>
      <c r="P823" s="33"/>
      <c r="Q823" s="33"/>
    </row>
    <row r="824" spans="2:17" ht="15.75" customHeight="1" x14ac:dyDescent="0.3">
      <c r="B824" s="33"/>
      <c r="C824" s="33"/>
      <c r="D824" s="33"/>
      <c r="E824" s="33"/>
      <c r="J824" s="33"/>
      <c r="M824" s="33"/>
      <c r="O824" s="33"/>
      <c r="P824" s="33"/>
      <c r="Q824" s="33"/>
    </row>
    <row r="825" spans="2:17" ht="15.75" customHeight="1" x14ac:dyDescent="0.3">
      <c r="B825" s="33"/>
      <c r="C825" s="33"/>
      <c r="D825" s="33"/>
      <c r="E825" s="33"/>
      <c r="J825" s="33"/>
      <c r="M825" s="33"/>
      <c r="O825" s="33"/>
      <c r="P825" s="33"/>
      <c r="Q825" s="33"/>
    </row>
    <row r="826" spans="2:17" ht="15.75" customHeight="1" x14ac:dyDescent="0.3">
      <c r="B826" s="33"/>
      <c r="C826" s="33"/>
      <c r="D826" s="33"/>
      <c r="E826" s="33"/>
      <c r="J826" s="33"/>
      <c r="M826" s="33"/>
      <c r="O826" s="33"/>
      <c r="P826" s="33"/>
      <c r="Q826" s="33"/>
    </row>
    <row r="827" spans="2:17" ht="15.75" customHeight="1" x14ac:dyDescent="0.3">
      <c r="B827" s="33"/>
      <c r="C827" s="33"/>
      <c r="D827" s="33"/>
      <c r="E827" s="33"/>
      <c r="J827" s="33"/>
      <c r="M827" s="33"/>
      <c r="O827" s="33"/>
      <c r="P827" s="33"/>
      <c r="Q827" s="33"/>
    </row>
    <row r="828" spans="2:17" ht="15.75" customHeight="1" x14ac:dyDescent="0.3">
      <c r="B828" s="33"/>
      <c r="C828" s="33"/>
      <c r="D828" s="33"/>
      <c r="E828" s="33"/>
      <c r="J828" s="33"/>
      <c r="M828" s="33"/>
      <c r="O828" s="33"/>
      <c r="P828" s="33"/>
      <c r="Q828" s="33"/>
    </row>
    <row r="829" spans="2:17" ht="15.75" customHeight="1" x14ac:dyDescent="0.3">
      <c r="B829" s="33"/>
      <c r="C829" s="33"/>
      <c r="D829" s="33"/>
      <c r="E829" s="33"/>
      <c r="J829" s="33"/>
      <c r="M829" s="33"/>
      <c r="O829" s="33"/>
      <c r="P829" s="33"/>
      <c r="Q829" s="33"/>
    </row>
    <row r="830" spans="2:17" ht="15.75" customHeight="1" x14ac:dyDescent="0.3">
      <c r="B830" s="33"/>
      <c r="C830" s="33"/>
      <c r="D830" s="33"/>
      <c r="E830" s="33"/>
      <c r="J830" s="33"/>
      <c r="M830" s="33"/>
      <c r="O830" s="33"/>
      <c r="P830" s="33"/>
      <c r="Q830" s="33"/>
    </row>
    <row r="831" spans="2:17" ht="15.75" customHeight="1" x14ac:dyDescent="0.3">
      <c r="B831" s="33"/>
      <c r="C831" s="33"/>
      <c r="D831" s="33"/>
      <c r="E831" s="33"/>
      <c r="J831" s="33"/>
      <c r="M831" s="33"/>
      <c r="O831" s="33"/>
      <c r="P831" s="33"/>
      <c r="Q831" s="33"/>
    </row>
    <row r="832" spans="2:17" ht="15.75" customHeight="1" x14ac:dyDescent="0.3">
      <c r="B832" s="33"/>
      <c r="C832" s="33"/>
      <c r="D832" s="33"/>
      <c r="E832" s="33"/>
      <c r="J832" s="33"/>
      <c r="M832" s="33"/>
      <c r="O832" s="33"/>
      <c r="P832" s="33"/>
      <c r="Q832" s="33"/>
    </row>
    <row r="833" spans="2:17" ht="15.75" customHeight="1" x14ac:dyDescent="0.3">
      <c r="B833" s="33"/>
      <c r="C833" s="33"/>
      <c r="D833" s="33"/>
      <c r="E833" s="33"/>
      <c r="J833" s="33"/>
      <c r="M833" s="33"/>
      <c r="O833" s="33"/>
      <c r="P833" s="33"/>
      <c r="Q833" s="33"/>
    </row>
    <row r="834" spans="2:17" ht="15.75" customHeight="1" x14ac:dyDescent="0.3">
      <c r="B834" s="33"/>
      <c r="C834" s="33"/>
      <c r="D834" s="33"/>
      <c r="E834" s="33"/>
      <c r="J834" s="33"/>
      <c r="M834" s="33"/>
      <c r="O834" s="33"/>
      <c r="P834" s="33"/>
      <c r="Q834" s="33"/>
    </row>
    <row r="835" spans="2:17" ht="15.75" customHeight="1" x14ac:dyDescent="0.3">
      <c r="B835" s="33"/>
      <c r="C835" s="33"/>
      <c r="D835" s="33"/>
      <c r="E835" s="33"/>
      <c r="J835" s="33"/>
      <c r="M835" s="33"/>
      <c r="O835" s="33"/>
      <c r="P835" s="33"/>
      <c r="Q835" s="33"/>
    </row>
    <row r="836" spans="2:17" ht="15.75" customHeight="1" x14ac:dyDescent="0.3">
      <c r="B836" s="33"/>
      <c r="C836" s="33"/>
      <c r="D836" s="33"/>
      <c r="E836" s="33"/>
      <c r="J836" s="33"/>
      <c r="M836" s="33"/>
      <c r="O836" s="33"/>
      <c r="P836" s="33"/>
      <c r="Q836" s="33"/>
    </row>
    <row r="837" spans="2:17" ht="15.75" customHeight="1" x14ac:dyDescent="0.3">
      <c r="B837" s="33"/>
      <c r="C837" s="33"/>
      <c r="D837" s="33"/>
      <c r="E837" s="33"/>
      <c r="J837" s="33"/>
      <c r="M837" s="33"/>
      <c r="O837" s="33"/>
      <c r="P837" s="33"/>
      <c r="Q837" s="33"/>
    </row>
    <row r="838" spans="2:17" ht="15.75" customHeight="1" x14ac:dyDescent="0.3">
      <c r="B838" s="33"/>
      <c r="C838" s="33"/>
      <c r="D838" s="33"/>
      <c r="E838" s="33"/>
      <c r="J838" s="33"/>
      <c r="M838" s="33"/>
      <c r="O838" s="33"/>
      <c r="P838" s="33"/>
      <c r="Q838" s="33"/>
    </row>
    <row r="839" spans="2:17" ht="15.75" customHeight="1" x14ac:dyDescent="0.3">
      <c r="B839" s="33"/>
      <c r="C839" s="33"/>
      <c r="D839" s="33"/>
      <c r="E839" s="33"/>
      <c r="J839" s="33"/>
      <c r="M839" s="33"/>
      <c r="O839" s="33"/>
      <c r="P839" s="33"/>
      <c r="Q839" s="33"/>
    </row>
    <row r="840" spans="2:17" ht="15.75" customHeight="1" x14ac:dyDescent="0.3">
      <c r="B840" s="33"/>
      <c r="C840" s="33"/>
      <c r="D840" s="33"/>
      <c r="E840" s="33"/>
      <c r="J840" s="33"/>
      <c r="M840" s="33"/>
      <c r="O840" s="33"/>
      <c r="P840" s="33"/>
      <c r="Q840" s="33"/>
    </row>
    <row r="841" spans="2:17" ht="15.75" customHeight="1" x14ac:dyDescent="0.3">
      <c r="B841" s="33"/>
      <c r="C841" s="33"/>
      <c r="D841" s="33"/>
      <c r="E841" s="33"/>
      <c r="J841" s="33"/>
      <c r="M841" s="33"/>
      <c r="O841" s="33"/>
      <c r="P841" s="33"/>
      <c r="Q841" s="33"/>
    </row>
    <row r="842" spans="2:17" ht="15.75" customHeight="1" x14ac:dyDescent="0.3">
      <c r="B842" s="33"/>
      <c r="C842" s="33"/>
      <c r="D842" s="33"/>
      <c r="E842" s="33"/>
      <c r="J842" s="33"/>
      <c r="M842" s="33"/>
      <c r="O842" s="33"/>
      <c r="P842" s="33"/>
      <c r="Q842" s="33"/>
    </row>
    <row r="843" spans="2:17" ht="15.75" customHeight="1" x14ac:dyDescent="0.3">
      <c r="B843" s="33"/>
      <c r="C843" s="33"/>
      <c r="D843" s="33"/>
      <c r="E843" s="33"/>
      <c r="J843" s="33"/>
      <c r="M843" s="33"/>
      <c r="O843" s="33"/>
      <c r="P843" s="33"/>
      <c r="Q843" s="33"/>
    </row>
    <row r="844" spans="2:17" ht="15.75" customHeight="1" x14ac:dyDescent="0.3">
      <c r="B844" s="33"/>
      <c r="C844" s="33"/>
      <c r="D844" s="33"/>
      <c r="E844" s="33"/>
      <c r="J844" s="33"/>
      <c r="M844" s="33"/>
      <c r="O844" s="33"/>
      <c r="P844" s="33"/>
      <c r="Q844" s="33"/>
    </row>
    <row r="845" spans="2:17" ht="15.75" customHeight="1" x14ac:dyDescent="0.3">
      <c r="B845" s="33"/>
      <c r="C845" s="33"/>
      <c r="D845" s="33"/>
      <c r="E845" s="33"/>
      <c r="J845" s="33"/>
      <c r="M845" s="33"/>
      <c r="O845" s="33"/>
      <c r="P845" s="33"/>
      <c r="Q845" s="33"/>
    </row>
    <row r="846" spans="2:17" ht="15.75" customHeight="1" x14ac:dyDescent="0.3">
      <c r="B846" s="33"/>
      <c r="C846" s="33"/>
      <c r="D846" s="33"/>
      <c r="E846" s="33"/>
      <c r="J846" s="33"/>
      <c r="M846" s="33"/>
      <c r="O846" s="33"/>
      <c r="P846" s="33"/>
      <c r="Q846" s="33"/>
    </row>
    <row r="847" spans="2:17" ht="15.75" customHeight="1" x14ac:dyDescent="0.3">
      <c r="B847" s="33"/>
      <c r="C847" s="33"/>
      <c r="D847" s="33"/>
      <c r="E847" s="33"/>
      <c r="J847" s="33"/>
      <c r="M847" s="33"/>
      <c r="O847" s="33"/>
      <c r="P847" s="33"/>
      <c r="Q847" s="33"/>
    </row>
    <row r="848" spans="2:17" ht="15.75" customHeight="1" x14ac:dyDescent="0.3">
      <c r="B848" s="33"/>
      <c r="C848" s="33"/>
      <c r="D848" s="33"/>
      <c r="E848" s="33"/>
      <c r="J848" s="33"/>
      <c r="M848" s="33"/>
      <c r="O848" s="33"/>
      <c r="P848" s="33"/>
      <c r="Q848" s="33"/>
    </row>
    <row r="849" spans="2:17" ht="15.75" customHeight="1" x14ac:dyDescent="0.3">
      <c r="B849" s="33"/>
      <c r="C849" s="33"/>
      <c r="D849" s="33"/>
      <c r="E849" s="33"/>
      <c r="J849" s="33"/>
      <c r="M849" s="33"/>
      <c r="O849" s="33"/>
      <c r="P849" s="33"/>
      <c r="Q849" s="33"/>
    </row>
    <row r="850" spans="2:17" ht="15.75" customHeight="1" x14ac:dyDescent="0.3">
      <c r="B850" s="33"/>
      <c r="C850" s="33"/>
      <c r="D850" s="33"/>
      <c r="E850" s="33"/>
      <c r="J850" s="33"/>
      <c r="M850" s="33"/>
      <c r="O850" s="33"/>
      <c r="P850" s="33"/>
      <c r="Q850" s="33"/>
    </row>
    <row r="851" spans="2:17" ht="15.75" customHeight="1" x14ac:dyDescent="0.3">
      <c r="B851" s="33"/>
      <c r="C851" s="33"/>
      <c r="D851" s="33"/>
      <c r="E851" s="33"/>
      <c r="J851" s="33"/>
      <c r="M851" s="33"/>
      <c r="O851" s="33"/>
      <c r="P851" s="33"/>
      <c r="Q851" s="33"/>
    </row>
    <row r="852" spans="2:17" ht="15.75" customHeight="1" x14ac:dyDescent="0.3">
      <c r="B852" s="33"/>
      <c r="C852" s="33"/>
      <c r="D852" s="33"/>
      <c r="E852" s="33"/>
      <c r="J852" s="33"/>
      <c r="M852" s="33"/>
      <c r="O852" s="33"/>
      <c r="P852" s="33"/>
      <c r="Q852" s="33"/>
    </row>
    <row r="853" spans="2:17" ht="15.75" customHeight="1" x14ac:dyDescent="0.3">
      <c r="B853" s="33"/>
      <c r="C853" s="33"/>
      <c r="D853" s="33"/>
      <c r="E853" s="33"/>
      <c r="J853" s="33"/>
      <c r="M853" s="33"/>
      <c r="O853" s="33"/>
      <c r="P853" s="33"/>
      <c r="Q853" s="33"/>
    </row>
    <row r="854" spans="2:17" ht="15.75" customHeight="1" x14ac:dyDescent="0.3">
      <c r="B854" s="33"/>
      <c r="C854" s="33"/>
      <c r="D854" s="33"/>
      <c r="E854" s="33"/>
      <c r="J854" s="33"/>
      <c r="M854" s="33"/>
      <c r="O854" s="33"/>
      <c r="P854" s="33"/>
      <c r="Q854" s="33"/>
    </row>
    <row r="855" spans="2:17" ht="15.75" customHeight="1" x14ac:dyDescent="0.3">
      <c r="B855" s="33"/>
      <c r="C855" s="33"/>
      <c r="D855" s="33"/>
      <c r="E855" s="33"/>
      <c r="J855" s="33"/>
      <c r="M855" s="33"/>
      <c r="O855" s="33"/>
      <c r="P855" s="33"/>
      <c r="Q855" s="33"/>
    </row>
    <row r="856" spans="2:17" ht="15.75" customHeight="1" x14ac:dyDescent="0.3">
      <c r="B856" s="33"/>
      <c r="C856" s="33"/>
      <c r="D856" s="33"/>
      <c r="E856" s="33"/>
      <c r="J856" s="33"/>
      <c r="M856" s="33"/>
      <c r="O856" s="33"/>
      <c r="P856" s="33"/>
      <c r="Q856" s="33"/>
    </row>
    <row r="857" spans="2:17" ht="15.75" customHeight="1" x14ac:dyDescent="0.3">
      <c r="B857" s="33"/>
      <c r="C857" s="33"/>
      <c r="D857" s="33"/>
      <c r="E857" s="33"/>
      <c r="J857" s="33"/>
      <c r="M857" s="33"/>
      <c r="O857" s="33"/>
      <c r="P857" s="33"/>
      <c r="Q857" s="33"/>
    </row>
    <row r="858" spans="2:17" ht="15.75" customHeight="1" x14ac:dyDescent="0.3">
      <c r="B858" s="33"/>
      <c r="C858" s="33"/>
      <c r="D858" s="33"/>
      <c r="E858" s="33"/>
      <c r="J858" s="33"/>
      <c r="M858" s="33"/>
      <c r="O858" s="33"/>
      <c r="P858" s="33"/>
      <c r="Q858" s="33"/>
    </row>
    <row r="859" spans="2:17" ht="15.75" customHeight="1" x14ac:dyDescent="0.3">
      <c r="B859" s="33"/>
      <c r="C859" s="33"/>
      <c r="D859" s="33"/>
      <c r="E859" s="33"/>
      <c r="J859" s="33"/>
      <c r="M859" s="33"/>
      <c r="O859" s="33"/>
      <c r="P859" s="33"/>
      <c r="Q859" s="33"/>
    </row>
    <row r="860" spans="2:17" ht="15.75" customHeight="1" x14ac:dyDescent="0.3">
      <c r="B860" s="33"/>
      <c r="C860" s="33"/>
      <c r="D860" s="33"/>
      <c r="E860" s="33"/>
      <c r="J860" s="33"/>
      <c r="M860" s="33"/>
      <c r="O860" s="33"/>
      <c r="P860" s="33"/>
      <c r="Q860" s="33"/>
    </row>
    <row r="861" spans="2:17" ht="15.75" customHeight="1" x14ac:dyDescent="0.3">
      <c r="B861" s="33"/>
      <c r="C861" s="33"/>
      <c r="D861" s="33"/>
      <c r="E861" s="33"/>
      <c r="J861" s="33"/>
      <c r="M861" s="33"/>
      <c r="O861" s="33"/>
      <c r="P861" s="33"/>
      <c r="Q861" s="33"/>
    </row>
    <row r="862" spans="2:17" ht="15.75" customHeight="1" x14ac:dyDescent="0.3">
      <c r="B862" s="33"/>
      <c r="C862" s="33"/>
      <c r="D862" s="33"/>
      <c r="E862" s="33"/>
      <c r="J862" s="33"/>
      <c r="M862" s="33"/>
      <c r="O862" s="33"/>
      <c r="P862" s="33"/>
      <c r="Q862" s="33"/>
    </row>
    <row r="863" spans="2:17" ht="15.75" customHeight="1" x14ac:dyDescent="0.3">
      <c r="B863" s="33"/>
      <c r="C863" s="33"/>
      <c r="D863" s="33"/>
      <c r="E863" s="33"/>
      <c r="J863" s="33"/>
      <c r="M863" s="33"/>
      <c r="O863" s="33"/>
      <c r="P863" s="33"/>
      <c r="Q863" s="33"/>
    </row>
    <row r="864" spans="2:17" ht="15.75" customHeight="1" x14ac:dyDescent="0.3">
      <c r="B864" s="33"/>
      <c r="C864" s="33"/>
      <c r="D864" s="33"/>
      <c r="E864" s="33"/>
      <c r="J864" s="33"/>
      <c r="M864" s="33"/>
      <c r="O864" s="33"/>
      <c r="P864" s="33"/>
      <c r="Q864" s="33"/>
    </row>
    <row r="865" spans="2:17" ht="15.75" customHeight="1" x14ac:dyDescent="0.3">
      <c r="B865" s="33"/>
      <c r="C865" s="33"/>
      <c r="D865" s="33"/>
      <c r="E865" s="33"/>
      <c r="J865" s="33"/>
      <c r="M865" s="33"/>
      <c r="O865" s="33"/>
      <c r="P865" s="33"/>
      <c r="Q865" s="33"/>
    </row>
    <row r="866" spans="2:17" ht="15.75" customHeight="1" x14ac:dyDescent="0.3">
      <c r="B866" s="33"/>
      <c r="C866" s="33"/>
      <c r="D866" s="33"/>
      <c r="E866" s="33"/>
      <c r="J866" s="33"/>
      <c r="M866" s="33"/>
      <c r="O866" s="33"/>
      <c r="P866" s="33"/>
      <c r="Q866" s="33"/>
    </row>
    <row r="867" spans="2:17" ht="15.75" customHeight="1" x14ac:dyDescent="0.3">
      <c r="B867" s="33"/>
      <c r="C867" s="33"/>
      <c r="D867" s="33"/>
      <c r="E867" s="33"/>
      <c r="J867" s="33"/>
      <c r="M867" s="33"/>
      <c r="O867" s="33"/>
      <c r="P867" s="33"/>
      <c r="Q867" s="33"/>
    </row>
    <row r="868" spans="2:17" ht="15.75" customHeight="1" x14ac:dyDescent="0.3">
      <c r="B868" s="33"/>
      <c r="C868" s="33"/>
      <c r="D868" s="33"/>
      <c r="E868" s="33"/>
      <c r="J868" s="33"/>
      <c r="M868" s="33"/>
      <c r="O868" s="33"/>
      <c r="P868" s="33"/>
      <c r="Q868" s="33"/>
    </row>
    <row r="869" spans="2:17" ht="15.75" customHeight="1" x14ac:dyDescent="0.3">
      <c r="B869" s="33"/>
      <c r="C869" s="33"/>
      <c r="D869" s="33"/>
      <c r="E869" s="33"/>
      <c r="J869" s="33"/>
      <c r="M869" s="33"/>
      <c r="O869" s="33"/>
      <c r="P869" s="33"/>
      <c r="Q869" s="33"/>
    </row>
    <row r="870" spans="2:17" ht="15.75" customHeight="1" x14ac:dyDescent="0.3">
      <c r="B870" s="33"/>
      <c r="C870" s="33"/>
      <c r="D870" s="33"/>
      <c r="E870" s="33"/>
      <c r="J870" s="33"/>
      <c r="M870" s="33"/>
      <c r="O870" s="33"/>
      <c r="P870" s="33"/>
      <c r="Q870" s="33"/>
    </row>
    <row r="871" spans="2:17" ht="15.75" customHeight="1" x14ac:dyDescent="0.3">
      <c r="B871" s="33"/>
      <c r="C871" s="33"/>
      <c r="D871" s="33"/>
      <c r="E871" s="33"/>
      <c r="J871" s="33"/>
      <c r="M871" s="33"/>
      <c r="O871" s="33"/>
      <c r="P871" s="33"/>
      <c r="Q871" s="33"/>
    </row>
    <row r="872" spans="2:17" ht="15.75" customHeight="1" x14ac:dyDescent="0.3">
      <c r="B872" s="33"/>
      <c r="C872" s="33"/>
      <c r="D872" s="33"/>
      <c r="E872" s="33"/>
      <c r="J872" s="33"/>
      <c r="M872" s="33"/>
      <c r="O872" s="33"/>
      <c r="P872" s="33"/>
      <c r="Q872" s="33"/>
    </row>
    <row r="873" spans="2:17" ht="15.75" customHeight="1" x14ac:dyDescent="0.3">
      <c r="B873" s="33"/>
      <c r="C873" s="33"/>
      <c r="D873" s="33"/>
      <c r="E873" s="33"/>
      <c r="J873" s="33"/>
      <c r="M873" s="33"/>
      <c r="O873" s="33"/>
      <c r="P873" s="33"/>
      <c r="Q873" s="33"/>
    </row>
    <row r="874" spans="2:17" ht="15.75" customHeight="1" x14ac:dyDescent="0.3">
      <c r="B874" s="33"/>
      <c r="C874" s="33"/>
      <c r="D874" s="33"/>
      <c r="E874" s="33"/>
      <c r="J874" s="33"/>
      <c r="M874" s="33"/>
      <c r="O874" s="33"/>
      <c r="P874" s="33"/>
      <c r="Q874" s="33"/>
    </row>
    <row r="875" spans="2:17" ht="15.75" customHeight="1" x14ac:dyDescent="0.3">
      <c r="B875" s="33"/>
      <c r="C875" s="33"/>
      <c r="D875" s="33"/>
      <c r="E875" s="33"/>
      <c r="J875" s="33"/>
      <c r="M875" s="33"/>
      <c r="O875" s="33"/>
      <c r="P875" s="33"/>
      <c r="Q875" s="33"/>
    </row>
    <row r="876" spans="2:17" ht="15.75" customHeight="1" x14ac:dyDescent="0.3">
      <c r="B876" s="33"/>
      <c r="C876" s="33"/>
      <c r="D876" s="33"/>
      <c r="E876" s="33"/>
      <c r="J876" s="33"/>
      <c r="M876" s="33"/>
      <c r="O876" s="33"/>
      <c r="P876" s="33"/>
      <c r="Q876" s="33"/>
    </row>
    <row r="877" spans="2:17" ht="15.75" customHeight="1" x14ac:dyDescent="0.3">
      <c r="B877" s="33"/>
      <c r="C877" s="33"/>
      <c r="D877" s="33"/>
      <c r="E877" s="33"/>
      <c r="J877" s="33"/>
      <c r="M877" s="33"/>
      <c r="O877" s="33"/>
      <c r="P877" s="33"/>
      <c r="Q877" s="33"/>
    </row>
    <row r="878" spans="2:17" ht="15.75" customHeight="1" x14ac:dyDescent="0.3">
      <c r="B878" s="33"/>
      <c r="C878" s="33"/>
      <c r="D878" s="33"/>
      <c r="E878" s="33"/>
      <c r="J878" s="33"/>
      <c r="M878" s="33"/>
      <c r="O878" s="33"/>
      <c r="P878" s="33"/>
      <c r="Q878" s="33"/>
    </row>
    <row r="879" spans="2:17" ht="15.75" customHeight="1" x14ac:dyDescent="0.3">
      <c r="B879" s="33"/>
      <c r="C879" s="33"/>
      <c r="D879" s="33"/>
      <c r="E879" s="33"/>
      <c r="J879" s="33"/>
      <c r="M879" s="33"/>
      <c r="O879" s="33"/>
      <c r="P879" s="33"/>
      <c r="Q879" s="33"/>
    </row>
    <row r="880" spans="2:17" ht="15.75" customHeight="1" x14ac:dyDescent="0.3">
      <c r="B880" s="33"/>
      <c r="C880" s="33"/>
      <c r="D880" s="33"/>
      <c r="E880" s="33"/>
      <c r="J880" s="33"/>
      <c r="M880" s="33"/>
      <c r="O880" s="33"/>
      <c r="P880" s="33"/>
      <c r="Q880" s="33"/>
    </row>
    <row r="881" spans="2:17" ht="15.75" customHeight="1" x14ac:dyDescent="0.3">
      <c r="B881" s="33"/>
      <c r="C881" s="33"/>
      <c r="D881" s="33"/>
      <c r="E881" s="33"/>
      <c r="J881" s="33"/>
      <c r="M881" s="33"/>
      <c r="O881" s="33"/>
      <c r="P881" s="33"/>
      <c r="Q881" s="33"/>
    </row>
    <row r="882" spans="2:17" ht="15.75" customHeight="1" x14ac:dyDescent="0.3">
      <c r="B882" s="33"/>
      <c r="C882" s="33"/>
      <c r="D882" s="33"/>
      <c r="E882" s="33"/>
      <c r="J882" s="33"/>
      <c r="M882" s="33"/>
      <c r="O882" s="33"/>
      <c r="P882" s="33"/>
      <c r="Q882" s="33"/>
    </row>
    <row r="883" spans="2:17" ht="15.75" customHeight="1" x14ac:dyDescent="0.3">
      <c r="B883" s="33"/>
      <c r="C883" s="33"/>
      <c r="D883" s="33"/>
      <c r="E883" s="33"/>
      <c r="J883" s="33"/>
      <c r="M883" s="33"/>
      <c r="O883" s="33"/>
      <c r="P883" s="33"/>
      <c r="Q883" s="33"/>
    </row>
    <row r="884" spans="2:17" ht="15.75" customHeight="1" x14ac:dyDescent="0.3">
      <c r="B884" s="33"/>
      <c r="C884" s="33"/>
      <c r="D884" s="33"/>
      <c r="E884" s="33"/>
      <c r="J884" s="33"/>
      <c r="M884" s="33"/>
      <c r="O884" s="33"/>
      <c r="P884" s="33"/>
      <c r="Q884" s="33"/>
    </row>
    <row r="885" spans="2:17" ht="15.75" customHeight="1" x14ac:dyDescent="0.3">
      <c r="B885" s="33"/>
      <c r="C885" s="33"/>
      <c r="D885" s="33"/>
      <c r="E885" s="33"/>
      <c r="J885" s="33"/>
      <c r="M885" s="33"/>
      <c r="O885" s="33"/>
      <c r="P885" s="33"/>
      <c r="Q885" s="33"/>
    </row>
    <row r="886" spans="2:17" ht="15.75" customHeight="1" x14ac:dyDescent="0.3">
      <c r="B886" s="33"/>
      <c r="C886" s="33"/>
      <c r="D886" s="33"/>
      <c r="E886" s="33"/>
      <c r="J886" s="33"/>
      <c r="M886" s="33"/>
      <c r="O886" s="33"/>
      <c r="P886" s="33"/>
      <c r="Q886" s="33"/>
    </row>
    <row r="887" spans="2:17" ht="15.75" customHeight="1" x14ac:dyDescent="0.3">
      <c r="B887" s="33"/>
      <c r="C887" s="33"/>
      <c r="D887" s="33"/>
      <c r="E887" s="33"/>
      <c r="J887" s="33"/>
      <c r="M887" s="33"/>
      <c r="O887" s="33"/>
      <c r="P887" s="33"/>
      <c r="Q887" s="33"/>
    </row>
    <row r="888" spans="2:17" ht="15.75" customHeight="1" x14ac:dyDescent="0.3">
      <c r="B888" s="33"/>
      <c r="C888" s="33"/>
      <c r="D888" s="33"/>
      <c r="E888" s="33"/>
      <c r="J888" s="33"/>
      <c r="M888" s="33"/>
      <c r="O888" s="33"/>
      <c r="P888" s="33"/>
      <c r="Q888" s="33"/>
    </row>
    <row r="889" spans="2:17" ht="15.75" customHeight="1" x14ac:dyDescent="0.3">
      <c r="B889" s="33"/>
      <c r="C889" s="33"/>
      <c r="D889" s="33"/>
      <c r="E889" s="33"/>
      <c r="J889" s="33"/>
      <c r="M889" s="33"/>
      <c r="O889" s="33"/>
      <c r="P889" s="33"/>
      <c r="Q889" s="33"/>
    </row>
    <row r="890" spans="2:17" ht="15.75" customHeight="1" x14ac:dyDescent="0.3">
      <c r="B890" s="33"/>
      <c r="C890" s="33"/>
      <c r="D890" s="33"/>
      <c r="E890" s="33"/>
      <c r="J890" s="33"/>
      <c r="M890" s="33"/>
      <c r="O890" s="33"/>
      <c r="P890" s="33"/>
      <c r="Q890" s="33"/>
    </row>
    <row r="891" spans="2:17" ht="15.75" customHeight="1" x14ac:dyDescent="0.3">
      <c r="B891" s="33"/>
      <c r="C891" s="33"/>
      <c r="D891" s="33"/>
      <c r="E891" s="33"/>
      <c r="J891" s="33"/>
      <c r="M891" s="33"/>
      <c r="O891" s="33"/>
      <c r="P891" s="33"/>
      <c r="Q891" s="33"/>
    </row>
    <row r="892" spans="2:17" ht="15.75" customHeight="1" x14ac:dyDescent="0.3">
      <c r="B892" s="33"/>
      <c r="C892" s="33"/>
      <c r="D892" s="33"/>
      <c r="E892" s="33"/>
      <c r="J892" s="33"/>
      <c r="M892" s="33"/>
      <c r="O892" s="33"/>
      <c r="P892" s="33"/>
      <c r="Q892" s="33"/>
    </row>
    <row r="893" spans="2:17" ht="15.75" customHeight="1" x14ac:dyDescent="0.3">
      <c r="B893" s="33"/>
      <c r="C893" s="33"/>
      <c r="D893" s="33"/>
      <c r="E893" s="33"/>
      <c r="J893" s="33"/>
      <c r="M893" s="33"/>
      <c r="O893" s="33"/>
      <c r="P893" s="33"/>
      <c r="Q893" s="33"/>
    </row>
    <row r="894" spans="2:17" ht="15.75" customHeight="1" x14ac:dyDescent="0.3">
      <c r="B894" s="33"/>
      <c r="C894" s="33"/>
      <c r="D894" s="33"/>
      <c r="E894" s="33"/>
      <c r="J894" s="33"/>
      <c r="M894" s="33"/>
      <c r="O894" s="33"/>
      <c r="P894" s="33"/>
      <c r="Q894" s="33"/>
    </row>
    <row r="895" spans="2:17" ht="15.75" customHeight="1" x14ac:dyDescent="0.3">
      <c r="B895" s="33"/>
      <c r="C895" s="33"/>
      <c r="D895" s="33"/>
      <c r="E895" s="33"/>
      <c r="J895" s="33"/>
      <c r="M895" s="33"/>
      <c r="O895" s="33"/>
      <c r="P895" s="33"/>
      <c r="Q895" s="33"/>
    </row>
    <row r="896" spans="2:17" ht="15.75" customHeight="1" x14ac:dyDescent="0.3">
      <c r="B896" s="33"/>
      <c r="C896" s="33"/>
      <c r="D896" s="33"/>
      <c r="E896" s="33"/>
      <c r="J896" s="33"/>
      <c r="M896" s="33"/>
      <c r="O896" s="33"/>
      <c r="P896" s="33"/>
      <c r="Q896" s="33"/>
    </row>
    <row r="897" spans="2:17" ht="15.75" customHeight="1" x14ac:dyDescent="0.3">
      <c r="B897" s="33"/>
      <c r="C897" s="33"/>
      <c r="D897" s="33"/>
      <c r="E897" s="33"/>
      <c r="J897" s="33"/>
      <c r="M897" s="33"/>
      <c r="O897" s="33"/>
      <c r="P897" s="33"/>
      <c r="Q897" s="33"/>
    </row>
    <row r="898" spans="2:17" ht="15.75" customHeight="1" x14ac:dyDescent="0.3">
      <c r="B898" s="33"/>
      <c r="C898" s="33"/>
      <c r="D898" s="33"/>
      <c r="E898" s="33"/>
      <c r="J898" s="33"/>
      <c r="M898" s="33"/>
      <c r="O898" s="33"/>
      <c r="P898" s="33"/>
      <c r="Q898" s="33"/>
    </row>
    <row r="899" spans="2:17" ht="15.75" customHeight="1" x14ac:dyDescent="0.3">
      <c r="B899" s="33"/>
      <c r="C899" s="33"/>
      <c r="D899" s="33"/>
      <c r="E899" s="33"/>
      <c r="J899" s="33"/>
      <c r="M899" s="33"/>
      <c r="O899" s="33"/>
      <c r="P899" s="33"/>
      <c r="Q899" s="33"/>
    </row>
    <row r="900" spans="2:17" ht="15.75" customHeight="1" x14ac:dyDescent="0.3">
      <c r="B900" s="33"/>
      <c r="C900" s="33"/>
      <c r="D900" s="33"/>
      <c r="E900" s="33"/>
      <c r="J900" s="33"/>
      <c r="M900" s="33"/>
      <c r="O900" s="33"/>
      <c r="P900" s="33"/>
      <c r="Q900" s="33"/>
    </row>
    <row r="901" spans="2:17" ht="15.75" customHeight="1" x14ac:dyDescent="0.3">
      <c r="B901" s="33"/>
      <c r="C901" s="33"/>
      <c r="D901" s="33"/>
      <c r="E901" s="33"/>
      <c r="J901" s="33"/>
      <c r="M901" s="33"/>
      <c r="O901" s="33"/>
      <c r="P901" s="33"/>
      <c r="Q901" s="33"/>
    </row>
    <row r="902" spans="2:17" ht="15.75" customHeight="1" x14ac:dyDescent="0.3">
      <c r="B902" s="33"/>
      <c r="C902" s="33"/>
      <c r="D902" s="33"/>
      <c r="E902" s="33"/>
      <c r="J902" s="33"/>
      <c r="M902" s="33"/>
      <c r="O902" s="33"/>
      <c r="P902" s="33"/>
      <c r="Q902" s="33"/>
    </row>
    <row r="903" spans="2:17" ht="15.75" customHeight="1" x14ac:dyDescent="0.3">
      <c r="B903" s="33"/>
      <c r="C903" s="33"/>
      <c r="D903" s="33"/>
      <c r="E903" s="33"/>
      <c r="J903" s="33"/>
      <c r="M903" s="33"/>
      <c r="O903" s="33"/>
      <c r="P903" s="33"/>
      <c r="Q903" s="33"/>
    </row>
    <row r="904" spans="2:17" ht="15.75" customHeight="1" x14ac:dyDescent="0.3">
      <c r="B904" s="33"/>
      <c r="C904" s="33"/>
      <c r="D904" s="33"/>
      <c r="E904" s="33"/>
      <c r="J904" s="33"/>
      <c r="M904" s="33"/>
      <c r="O904" s="33"/>
      <c r="P904" s="33"/>
      <c r="Q904" s="33"/>
    </row>
    <row r="905" spans="2:17" ht="15.75" customHeight="1" x14ac:dyDescent="0.3">
      <c r="B905" s="33"/>
      <c r="C905" s="33"/>
      <c r="D905" s="33"/>
      <c r="E905" s="33"/>
      <c r="J905" s="33"/>
      <c r="M905" s="33"/>
      <c r="O905" s="33"/>
      <c r="P905" s="33"/>
      <c r="Q905" s="33"/>
    </row>
    <row r="906" spans="2:17" ht="15.75" customHeight="1" x14ac:dyDescent="0.3">
      <c r="B906" s="33"/>
      <c r="C906" s="33"/>
      <c r="D906" s="33"/>
      <c r="E906" s="33"/>
      <c r="J906" s="33"/>
      <c r="M906" s="33"/>
      <c r="O906" s="33"/>
      <c r="P906" s="33"/>
      <c r="Q906" s="33"/>
    </row>
    <row r="907" spans="2:17" ht="15.75" customHeight="1" x14ac:dyDescent="0.3">
      <c r="B907" s="33"/>
      <c r="C907" s="33"/>
      <c r="D907" s="33"/>
      <c r="E907" s="33"/>
      <c r="J907" s="33"/>
      <c r="M907" s="33"/>
      <c r="O907" s="33"/>
      <c r="P907" s="33"/>
      <c r="Q907" s="33"/>
    </row>
    <row r="908" spans="2:17" ht="15.75" customHeight="1" x14ac:dyDescent="0.3">
      <c r="B908" s="33"/>
      <c r="C908" s="33"/>
      <c r="D908" s="33"/>
      <c r="E908" s="33"/>
      <c r="J908" s="33"/>
      <c r="M908" s="33"/>
      <c r="O908" s="33"/>
      <c r="P908" s="33"/>
      <c r="Q908" s="33"/>
    </row>
    <row r="909" spans="2:17" ht="15.75" customHeight="1" x14ac:dyDescent="0.3">
      <c r="B909" s="33"/>
      <c r="C909" s="33"/>
      <c r="D909" s="33"/>
      <c r="E909" s="33"/>
      <c r="J909" s="33"/>
      <c r="M909" s="33"/>
      <c r="O909" s="33"/>
      <c r="P909" s="33"/>
      <c r="Q909" s="33"/>
    </row>
    <row r="910" spans="2:17" ht="15.75" customHeight="1" x14ac:dyDescent="0.3">
      <c r="B910" s="33"/>
      <c r="C910" s="33"/>
      <c r="D910" s="33"/>
      <c r="E910" s="33"/>
      <c r="J910" s="33"/>
      <c r="M910" s="33"/>
      <c r="O910" s="33"/>
      <c r="P910" s="33"/>
      <c r="Q910" s="33"/>
    </row>
    <row r="911" spans="2:17" ht="15.75" customHeight="1" x14ac:dyDescent="0.3">
      <c r="B911" s="33"/>
      <c r="C911" s="33"/>
      <c r="D911" s="33"/>
      <c r="E911" s="33"/>
      <c r="J911" s="33"/>
      <c r="M911" s="33"/>
      <c r="O911" s="33"/>
      <c r="P911" s="33"/>
      <c r="Q911" s="33"/>
    </row>
    <row r="912" spans="2:17" ht="15.75" customHeight="1" x14ac:dyDescent="0.3">
      <c r="B912" s="33"/>
      <c r="C912" s="33"/>
      <c r="D912" s="33"/>
      <c r="E912" s="33"/>
      <c r="J912" s="33"/>
      <c r="M912" s="33"/>
      <c r="O912" s="33"/>
      <c r="P912" s="33"/>
      <c r="Q912" s="33"/>
    </row>
    <row r="913" spans="2:17" ht="15.75" customHeight="1" x14ac:dyDescent="0.3">
      <c r="B913" s="33"/>
      <c r="C913" s="33"/>
      <c r="D913" s="33"/>
      <c r="E913" s="33"/>
      <c r="J913" s="33"/>
      <c r="M913" s="33"/>
      <c r="O913" s="33"/>
      <c r="P913" s="33"/>
      <c r="Q913" s="33"/>
    </row>
    <row r="914" spans="2:17" ht="15.75" customHeight="1" x14ac:dyDescent="0.3">
      <c r="B914" s="33"/>
      <c r="C914" s="33"/>
      <c r="D914" s="33"/>
      <c r="E914" s="33"/>
      <c r="J914" s="33"/>
      <c r="M914" s="33"/>
      <c r="O914" s="33"/>
      <c r="P914" s="33"/>
      <c r="Q914" s="33"/>
    </row>
    <row r="915" spans="2:17" ht="15.75" customHeight="1" x14ac:dyDescent="0.3">
      <c r="B915" s="33"/>
      <c r="C915" s="33"/>
      <c r="D915" s="33"/>
      <c r="E915" s="33"/>
      <c r="J915" s="33"/>
      <c r="M915" s="33"/>
      <c r="O915" s="33"/>
      <c r="P915" s="33"/>
      <c r="Q915" s="33"/>
    </row>
    <row r="916" spans="2:17" ht="15.75" customHeight="1" x14ac:dyDescent="0.3">
      <c r="B916" s="33"/>
      <c r="C916" s="33"/>
      <c r="D916" s="33"/>
      <c r="E916" s="33"/>
      <c r="J916" s="33"/>
      <c r="M916" s="33"/>
      <c r="O916" s="33"/>
      <c r="P916" s="33"/>
      <c r="Q916" s="33"/>
    </row>
    <row r="917" spans="2:17" ht="15.75" customHeight="1" x14ac:dyDescent="0.3">
      <c r="B917" s="33"/>
      <c r="C917" s="33"/>
      <c r="D917" s="33"/>
      <c r="E917" s="33"/>
      <c r="J917" s="33"/>
      <c r="M917" s="33"/>
      <c r="O917" s="33"/>
      <c r="P917" s="33"/>
      <c r="Q917" s="33"/>
    </row>
    <row r="918" spans="2:17" ht="15.75" customHeight="1" x14ac:dyDescent="0.3">
      <c r="B918" s="33"/>
      <c r="C918" s="33"/>
      <c r="D918" s="33"/>
      <c r="E918" s="33"/>
      <c r="J918" s="33"/>
      <c r="M918" s="33"/>
      <c r="O918" s="33"/>
      <c r="P918" s="33"/>
      <c r="Q918" s="33"/>
    </row>
    <row r="919" spans="2:17" ht="15.75" customHeight="1" x14ac:dyDescent="0.3">
      <c r="B919" s="33"/>
      <c r="C919" s="33"/>
      <c r="D919" s="33"/>
      <c r="E919" s="33"/>
      <c r="J919" s="33"/>
      <c r="M919" s="33"/>
      <c r="O919" s="33"/>
      <c r="P919" s="33"/>
      <c r="Q919" s="33"/>
    </row>
    <row r="920" spans="2:17" ht="15.75" customHeight="1" x14ac:dyDescent="0.3">
      <c r="B920" s="33"/>
      <c r="C920" s="33"/>
      <c r="D920" s="33"/>
      <c r="E920" s="33"/>
      <c r="J920" s="33"/>
      <c r="M920" s="33"/>
      <c r="O920" s="33"/>
      <c r="P920" s="33"/>
      <c r="Q920" s="33"/>
    </row>
    <row r="921" spans="2:17" ht="15.75" customHeight="1" x14ac:dyDescent="0.3">
      <c r="B921" s="33"/>
      <c r="C921" s="33"/>
      <c r="D921" s="33"/>
      <c r="E921" s="33"/>
      <c r="J921" s="33"/>
      <c r="M921" s="33"/>
      <c r="O921" s="33"/>
      <c r="P921" s="33"/>
      <c r="Q921" s="33"/>
    </row>
    <row r="922" spans="2:17" ht="15.75" customHeight="1" x14ac:dyDescent="0.3">
      <c r="B922" s="33"/>
      <c r="C922" s="33"/>
      <c r="D922" s="33"/>
      <c r="E922" s="33"/>
      <c r="J922" s="33"/>
      <c r="M922" s="33"/>
      <c r="O922" s="33"/>
      <c r="P922" s="33"/>
      <c r="Q922" s="33"/>
    </row>
    <row r="923" spans="2:17" ht="15.75" customHeight="1" x14ac:dyDescent="0.3">
      <c r="B923" s="33"/>
      <c r="C923" s="33"/>
      <c r="D923" s="33"/>
      <c r="E923" s="33"/>
      <c r="J923" s="33"/>
      <c r="M923" s="33"/>
      <c r="O923" s="33"/>
      <c r="P923" s="33"/>
      <c r="Q923" s="33"/>
    </row>
    <row r="924" spans="2:17" ht="15.75" customHeight="1" x14ac:dyDescent="0.3">
      <c r="B924" s="33"/>
      <c r="C924" s="33"/>
      <c r="D924" s="33"/>
      <c r="E924" s="33"/>
      <c r="J924" s="33"/>
      <c r="M924" s="33"/>
      <c r="O924" s="33"/>
      <c r="P924" s="33"/>
      <c r="Q924" s="33"/>
    </row>
    <row r="925" spans="2:17" ht="15.75" customHeight="1" x14ac:dyDescent="0.3">
      <c r="B925" s="33"/>
      <c r="C925" s="33"/>
      <c r="D925" s="33"/>
      <c r="E925" s="33"/>
      <c r="J925" s="33"/>
      <c r="M925" s="33"/>
      <c r="O925" s="33"/>
      <c r="P925" s="33"/>
      <c r="Q925" s="33"/>
    </row>
    <row r="926" spans="2:17" ht="15.75" customHeight="1" x14ac:dyDescent="0.3">
      <c r="B926" s="33"/>
      <c r="C926" s="33"/>
      <c r="D926" s="33"/>
      <c r="E926" s="33"/>
      <c r="J926" s="33"/>
      <c r="M926" s="33"/>
      <c r="O926" s="33"/>
      <c r="P926" s="33"/>
      <c r="Q926" s="33"/>
    </row>
    <row r="927" spans="2:17" ht="15.75" customHeight="1" x14ac:dyDescent="0.3">
      <c r="B927" s="33"/>
      <c r="C927" s="33"/>
      <c r="D927" s="33"/>
      <c r="E927" s="33"/>
      <c r="J927" s="33"/>
      <c r="M927" s="33"/>
      <c r="O927" s="33"/>
      <c r="P927" s="33"/>
      <c r="Q927" s="33"/>
    </row>
    <row r="928" spans="2:17" ht="15.75" customHeight="1" x14ac:dyDescent="0.3">
      <c r="B928" s="33"/>
      <c r="C928" s="33"/>
      <c r="D928" s="33"/>
      <c r="E928" s="33"/>
      <c r="J928" s="33"/>
      <c r="M928" s="33"/>
      <c r="O928" s="33"/>
      <c r="P928" s="33"/>
      <c r="Q928" s="33"/>
    </row>
    <row r="929" spans="2:17" ht="15.75" customHeight="1" x14ac:dyDescent="0.3">
      <c r="B929" s="33"/>
      <c r="C929" s="33"/>
      <c r="D929" s="33"/>
      <c r="E929" s="33"/>
      <c r="J929" s="33"/>
      <c r="M929" s="33"/>
      <c r="O929" s="33"/>
      <c r="P929" s="33"/>
      <c r="Q929" s="33"/>
    </row>
    <row r="930" spans="2:17" ht="15.75" customHeight="1" x14ac:dyDescent="0.3">
      <c r="B930" s="33"/>
      <c r="C930" s="33"/>
      <c r="D930" s="33"/>
      <c r="E930" s="33"/>
      <c r="J930" s="33"/>
      <c r="M930" s="33"/>
      <c r="O930" s="33"/>
      <c r="P930" s="33"/>
      <c r="Q930" s="33"/>
    </row>
    <row r="931" spans="2:17" ht="15.75" customHeight="1" x14ac:dyDescent="0.3">
      <c r="B931" s="33"/>
      <c r="C931" s="33"/>
      <c r="D931" s="33"/>
      <c r="E931" s="33"/>
      <c r="J931" s="33"/>
      <c r="M931" s="33"/>
      <c r="O931" s="33"/>
      <c r="P931" s="33"/>
      <c r="Q931" s="33"/>
    </row>
    <row r="932" spans="2:17" ht="15.75" customHeight="1" x14ac:dyDescent="0.3">
      <c r="B932" s="33"/>
      <c r="C932" s="33"/>
      <c r="D932" s="33"/>
      <c r="E932" s="33"/>
      <c r="J932" s="33"/>
      <c r="M932" s="33"/>
      <c r="O932" s="33"/>
      <c r="P932" s="33"/>
      <c r="Q932" s="33"/>
    </row>
    <row r="933" spans="2:17" ht="15.75" customHeight="1" x14ac:dyDescent="0.3">
      <c r="B933" s="33"/>
      <c r="C933" s="33"/>
      <c r="D933" s="33"/>
      <c r="E933" s="33"/>
      <c r="J933" s="33"/>
      <c r="M933" s="33"/>
      <c r="O933" s="33"/>
      <c r="P933" s="33"/>
      <c r="Q933" s="33"/>
    </row>
    <row r="934" spans="2:17" ht="15.75" customHeight="1" x14ac:dyDescent="0.3">
      <c r="B934" s="33"/>
      <c r="C934" s="33"/>
      <c r="D934" s="33"/>
      <c r="E934" s="33"/>
      <c r="J934" s="33"/>
      <c r="M934" s="33"/>
      <c r="O934" s="33"/>
      <c r="P934" s="33"/>
      <c r="Q934" s="33"/>
    </row>
    <row r="935" spans="2:17" ht="15.75" customHeight="1" x14ac:dyDescent="0.3">
      <c r="B935" s="33"/>
      <c r="C935" s="33"/>
      <c r="D935" s="33"/>
      <c r="E935" s="33"/>
      <c r="J935" s="33"/>
      <c r="M935" s="33"/>
      <c r="O935" s="33"/>
      <c r="P935" s="33"/>
      <c r="Q935" s="33"/>
    </row>
    <row r="936" spans="2:17" ht="15.75" customHeight="1" x14ac:dyDescent="0.3">
      <c r="B936" s="33"/>
      <c r="C936" s="33"/>
      <c r="D936" s="33"/>
      <c r="E936" s="33"/>
      <c r="J936" s="33"/>
      <c r="M936" s="33"/>
      <c r="O936" s="33"/>
      <c r="P936" s="33"/>
      <c r="Q936" s="33"/>
    </row>
    <row r="937" spans="2:17" ht="15.75" customHeight="1" x14ac:dyDescent="0.3">
      <c r="B937" s="33"/>
      <c r="C937" s="33"/>
      <c r="D937" s="33"/>
      <c r="E937" s="33"/>
      <c r="J937" s="33"/>
      <c r="M937" s="33"/>
      <c r="O937" s="33"/>
      <c r="P937" s="33"/>
      <c r="Q937" s="33"/>
    </row>
    <row r="938" spans="2:17" ht="15.75" customHeight="1" x14ac:dyDescent="0.3">
      <c r="B938" s="33"/>
      <c r="C938" s="33"/>
      <c r="D938" s="33"/>
      <c r="E938" s="33"/>
      <c r="J938" s="33"/>
      <c r="M938" s="33"/>
      <c r="O938" s="33"/>
      <c r="P938" s="33"/>
      <c r="Q938" s="33"/>
    </row>
    <row r="939" spans="2:17" ht="15.75" customHeight="1" x14ac:dyDescent="0.3">
      <c r="B939" s="33"/>
      <c r="C939" s="33"/>
      <c r="D939" s="33"/>
      <c r="E939" s="33"/>
      <c r="J939" s="33"/>
      <c r="M939" s="33"/>
      <c r="O939" s="33"/>
      <c r="P939" s="33"/>
      <c r="Q939" s="33"/>
    </row>
    <row r="940" spans="2:17" ht="15.75" customHeight="1" x14ac:dyDescent="0.3">
      <c r="B940" s="33"/>
      <c r="C940" s="33"/>
      <c r="D940" s="33"/>
      <c r="E940" s="33"/>
      <c r="J940" s="33"/>
      <c r="M940" s="33"/>
      <c r="O940" s="33"/>
      <c r="P940" s="33"/>
      <c r="Q940" s="33"/>
    </row>
    <row r="941" spans="2:17" ht="15.75" customHeight="1" x14ac:dyDescent="0.3">
      <c r="B941" s="33"/>
      <c r="C941" s="33"/>
      <c r="D941" s="33"/>
      <c r="E941" s="33"/>
      <c r="J941" s="33"/>
      <c r="M941" s="33"/>
      <c r="O941" s="33"/>
      <c r="P941" s="33"/>
      <c r="Q941" s="33"/>
    </row>
    <row r="942" spans="2:17" ht="15.75" customHeight="1" x14ac:dyDescent="0.3">
      <c r="B942" s="33"/>
      <c r="C942" s="33"/>
      <c r="D942" s="33"/>
      <c r="E942" s="33"/>
      <c r="J942" s="33"/>
      <c r="M942" s="33"/>
      <c r="O942" s="33"/>
      <c r="P942" s="33"/>
      <c r="Q942" s="33"/>
    </row>
    <row r="943" spans="2:17" ht="15.75" customHeight="1" x14ac:dyDescent="0.3">
      <c r="B943" s="33"/>
      <c r="C943" s="33"/>
      <c r="D943" s="33"/>
      <c r="E943" s="33"/>
      <c r="J943" s="33"/>
      <c r="M943" s="33"/>
      <c r="O943" s="33"/>
      <c r="P943" s="33"/>
      <c r="Q943" s="33"/>
    </row>
    <row r="944" spans="2:17" ht="15.75" customHeight="1" x14ac:dyDescent="0.3">
      <c r="B944" s="33"/>
      <c r="C944" s="33"/>
      <c r="D944" s="33"/>
      <c r="E944" s="33"/>
      <c r="J944" s="33"/>
      <c r="M944" s="33"/>
      <c r="O944" s="33"/>
      <c r="P944" s="33"/>
      <c r="Q944" s="33"/>
    </row>
    <row r="945" spans="2:17" ht="15.75" customHeight="1" x14ac:dyDescent="0.3">
      <c r="B945" s="33"/>
      <c r="C945" s="33"/>
      <c r="D945" s="33"/>
      <c r="E945" s="33"/>
      <c r="J945" s="33"/>
      <c r="M945" s="33"/>
      <c r="O945" s="33"/>
      <c r="P945" s="33"/>
      <c r="Q945" s="33"/>
    </row>
    <row r="946" spans="2:17" ht="15.75" customHeight="1" x14ac:dyDescent="0.3">
      <c r="B946" s="33"/>
      <c r="C946" s="33"/>
      <c r="D946" s="33"/>
      <c r="E946" s="33"/>
      <c r="J946" s="33"/>
      <c r="M946" s="33"/>
      <c r="O946" s="33"/>
      <c r="P946" s="33"/>
      <c r="Q946" s="33"/>
    </row>
    <row r="947" spans="2:17" ht="15.75" customHeight="1" x14ac:dyDescent="0.3">
      <c r="B947" s="33"/>
      <c r="C947" s="33"/>
      <c r="D947" s="33"/>
      <c r="E947" s="33"/>
      <c r="J947" s="33"/>
      <c r="M947" s="33"/>
      <c r="O947" s="33"/>
      <c r="P947" s="33"/>
      <c r="Q947" s="33"/>
    </row>
    <row r="948" spans="2:17" ht="15.75" customHeight="1" x14ac:dyDescent="0.3">
      <c r="B948" s="33"/>
      <c r="C948" s="33"/>
      <c r="D948" s="33"/>
      <c r="E948" s="33"/>
      <c r="J948" s="33"/>
      <c r="M948" s="33"/>
      <c r="O948" s="33"/>
      <c r="P948" s="33"/>
      <c r="Q948" s="33"/>
    </row>
    <row r="949" spans="2:17" ht="15.75" customHeight="1" x14ac:dyDescent="0.3">
      <c r="B949" s="33"/>
      <c r="C949" s="33"/>
      <c r="D949" s="33"/>
      <c r="E949" s="33"/>
      <c r="J949" s="33"/>
      <c r="M949" s="33"/>
      <c r="O949" s="33"/>
      <c r="P949" s="33"/>
      <c r="Q949" s="33"/>
    </row>
    <row r="950" spans="2:17" ht="15.75" customHeight="1" x14ac:dyDescent="0.3">
      <c r="B950" s="33"/>
      <c r="C950" s="33"/>
      <c r="D950" s="33"/>
      <c r="E950" s="33"/>
      <c r="J950" s="33"/>
      <c r="M950" s="33"/>
      <c r="O950" s="33"/>
      <c r="P950" s="33"/>
      <c r="Q950" s="33"/>
    </row>
    <row r="951" spans="2:17" ht="15.75" customHeight="1" x14ac:dyDescent="0.3">
      <c r="B951" s="33"/>
      <c r="C951" s="33"/>
      <c r="D951" s="33"/>
      <c r="E951" s="33"/>
      <c r="J951" s="33"/>
      <c r="M951" s="33"/>
      <c r="O951" s="33"/>
      <c r="P951" s="33"/>
      <c r="Q951" s="33"/>
    </row>
    <row r="952" spans="2:17" ht="15.75" customHeight="1" x14ac:dyDescent="0.3">
      <c r="B952" s="33"/>
      <c r="C952" s="33"/>
      <c r="D952" s="33"/>
      <c r="E952" s="33"/>
      <c r="J952" s="33"/>
      <c r="M952" s="33"/>
      <c r="O952" s="33"/>
      <c r="P952" s="33"/>
      <c r="Q952" s="33"/>
    </row>
    <row r="953" spans="2:17" ht="15.75" customHeight="1" x14ac:dyDescent="0.3">
      <c r="B953" s="33"/>
      <c r="C953" s="33"/>
      <c r="D953" s="33"/>
      <c r="E953" s="33"/>
      <c r="J953" s="33"/>
      <c r="M953" s="33"/>
      <c r="O953" s="33"/>
      <c r="P953" s="33"/>
      <c r="Q953" s="33"/>
    </row>
    <row r="954" spans="2:17" ht="15.75" customHeight="1" x14ac:dyDescent="0.3">
      <c r="B954" s="33"/>
      <c r="C954" s="33"/>
      <c r="D954" s="33"/>
      <c r="E954" s="33"/>
      <c r="J954" s="33"/>
      <c r="M954" s="33"/>
      <c r="O954" s="33"/>
      <c r="P954" s="33"/>
      <c r="Q954" s="33"/>
    </row>
    <row r="955" spans="2:17" ht="15.75" customHeight="1" x14ac:dyDescent="0.3">
      <c r="B955" s="33"/>
      <c r="C955" s="33"/>
      <c r="D955" s="33"/>
      <c r="E955" s="33"/>
      <c r="J955" s="33"/>
      <c r="M955" s="33"/>
      <c r="O955" s="33"/>
      <c r="P955" s="33"/>
      <c r="Q955" s="33"/>
    </row>
    <row r="956" spans="2:17" ht="15.75" customHeight="1" x14ac:dyDescent="0.3">
      <c r="B956" s="33"/>
      <c r="C956" s="33"/>
      <c r="D956" s="33"/>
      <c r="E956" s="33"/>
      <c r="J956" s="33"/>
      <c r="M956" s="33"/>
      <c r="O956" s="33"/>
      <c r="P956" s="33"/>
      <c r="Q956" s="33"/>
    </row>
    <row r="957" spans="2:17" ht="15.75" customHeight="1" x14ac:dyDescent="0.3">
      <c r="B957" s="33"/>
      <c r="C957" s="33"/>
      <c r="D957" s="33"/>
      <c r="E957" s="33"/>
      <c r="J957" s="33"/>
      <c r="M957" s="33"/>
      <c r="O957" s="33"/>
      <c r="P957" s="33"/>
      <c r="Q957" s="33"/>
    </row>
    <row r="958" spans="2:17" ht="15.75" customHeight="1" x14ac:dyDescent="0.3">
      <c r="B958" s="33"/>
      <c r="C958" s="33"/>
      <c r="D958" s="33"/>
      <c r="E958" s="33"/>
      <c r="J958" s="33"/>
      <c r="M958" s="33"/>
      <c r="O958" s="33"/>
      <c r="P958" s="33"/>
      <c r="Q958" s="33"/>
    </row>
    <row r="959" spans="2:17" ht="15.75" customHeight="1" x14ac:dyDescent="0.3">
      <c r="B959" s="33"/>
      <c r="C959" s="33"/>
      <c r="D959" s="33"/>
      <c r="E959" s="33"/>
      <c r="J959" s="33"/>
      <c r="M959" s="33"/>
      <c r="O959" s="33"/>
      <c r="P959" s="33"/>
      <c r="Q959" s="33"/>
    </row>
    <row r="960" spans="2:17" ht="15.75" customHeight="1" x14ac:dyDescent="0.3">
      <c r="B960" s="33"/>
      <c r="C960" s="33"/>
      <c r="D960" s="33"/>
      <c r="E960" s="33"/>
      <c r="J960" s="33"/>
      <c r="M960" s="33"/>
      <c r="O960" s="33"/>
      <c r="P960" s="33"/>
      <c r="Q960" s="33"/>
    </row>
    <row r="961" spans="2:17" ht="15.75" customHeight="1" x14ac:dyDescent="0.3">
      <c r="B961" s="33"/>
      <c r="C961" s="33"/>
      <c r="D961" s="33"/>
      <c r="E961" s="33"/>
      <c r="J961" s="33"/>
      <c r="M961" s="33"/>
      <c r="O961" s="33"/>
      <c r="P961" s="33"/>
      <c r="Q961" s="33"/>
    </row>
    <row r="962" spans="2:17" ht="15.75" customHeight="1" x14ac:dyDescent="0.3">
      <c r="B962" s="33"/>
      <c r="C962" s="33"/>
      <c r="D962" s="33"/>
      <c r="E962" s="33"/>
      <c r="J962" s="33"/>
      <c r="M962" s="33"/>
      <c r="O962" s="33"/>
      <c r="P962" s="33"/>
      <c r="Q962" s="33"/>
    </row>
    <row r="963" spans="2:17" ht="15.75" customHeight="1" x14ac:dyDescent="0.3">
      <c r="B963" s="33"/>
      <c r="C963" s="33"/>
      <c r="D963" s="33"/>
      <c r="E963" s="33"/>
      <c r="J963" s="33"/>
      <c r="M963" s="33"/>
      <c r="O963" s="33"/>
      <c r="P963" s="33"/>
      <c r="Q963" s="33"/>
    </row>
    <row r="964" spans="2:17" ht="15.75" customHeight="1" x14ac:dyDescent="0.3">
      <c r="B964" s="33"/>
      <c r="C964" s="33"/>
      <c r="D964" s="33"/>
      <c r="E964" s="33"/>
      <c r="J964" s="33"/>
      <c r="M964" s="33"/>
      <c r="O964" s="33"/>
      <c r="P964" s="33"/>
      <c r="Q964" s="33"/>
    </row>
    <row r="965" spans="2:17" ht="15.75" customHeight="1" x14ac:dyDescent="0.3">
      <c r="B965" s="33"/>
      <c r="C965" s="33"/>
      <c r="D965" s="33"/>
      <c r="E965" s="33"/>
      <c r="J965" s="33"/>
      <c r="M965" s="33"/>
      <c r="O965" s="33"/>
      <c r="P965" s="33"/>
      <c r="Q965" s="33"/>
    </row>
    <row r="966" spans="2:17" ht="15.75" customHeight="1" x14ac:dyDescent="0.3">
      <c r="B966" s="33"/>
      <c r="C966" s="33"/>
      <c r="D966" s="33"/>
      <c r="E966" s="33"/>
      <c r="J966" s="33"/>
      <c r="M966" s="33"/>
      <c r="O966" s="33"/>
      <c r="P966" s="33"/>
      <c r="Q966" s="33"/>
    </row>
    <row r="967" spans="2:17" ht="15.75" customHeight="1" x14ac:dyDescent="0.3">
      <c r="B967" s="33"/>
      <c r="C967" s="33"/>
      <c r="D967" s="33"/>
      <c r="E967" s="33"/>
      <c r="J967" s="33"/>
      <c r="M967" s="33"/>
      <c r="O967" s="33"/>
      <c r="P967" s="33"/>
      <c r="Q967" s="33"/>
    </row>
    <row r="968" spans="2:17" ht="15.75" customHeight="1" x14ac:dyDescent="0.3">
      <c r="B968" s="33"/>
      <c r="C968" s="33"/>
      <c r="D968" s="33"/>
      <c r="E968" s="33"/>
      <c r="J968" s="33"/>
      <c r="M968" s="33"/>
      <c r="O968" s="33"/>
      <c r="P968" s="33"/>
      <c r="Q968" s="33"/>
    </row>
    <row r="969" spans="2:17" ht="15.75" customHeight="1" x14ac:dyDescent="0.3">
      <c r="B969" s="33"/>
      <c r="C969" s="33"/>
      <c r="D969" s="33"/>
      <c r="E969" s="33"/>
      <c r="J969" s="33"/>
      <c r="M969" s="33"/>
      <c r="O969" s="33"/>
      <c r="P969" s="33"/>
      <c r="Q969" s="33"/>
    </row>
    <row r="970" spans="2:17" ht="15.75" customHeight="1" x14ac:dyDescent="0.3">
      <c r="B970" s="33"/>
      <c r="C970" s="33"/>
      <c r="D970" s="33"/>
      <c r="E970" s="33"/>
      <c r="J970" s="33"/>
      <c r="M970" s="33"/>
      <c r="O970" s="33"/>
      <c r="P970" s="33"/>
      <c r="Q970" s="33"/>
    </row>
    <row r="971" spans="2:17" ht="15.75" customHeight="1" x14ac:dyDescent="0.3">
      <c r="B971" s="33"/>
      <c r="C971" s="33"/>
      <c r="D971" s="33"/>
      <c r="E971" s="33"/>
      <c r="J971" s="33"/>
      <c r="M971" s="33"/>
      <c r="O971" s="33"/>
      <c r="P971" s="33"/>
      <c r="Q971" s="33"/>
    </row>
    <row r="972" spans="2:17" ht="15.75" customHeight="1" x14ac:dyDescent="0.3">
      <c r="B972" s="33"/>
      <c r="C972" s="33"/>
      <c r="D972" s="33"/>
      <c r="E972" s="33"/>
      <c r="J972" s="33"/>
      <c r="M972" s="33"/>
      <c r="O972" s="33"/>
      <c r="P972" s="33"/>
      <c r="Q972" s="33"/>
    </row>
    <row r="973" spans="2:17" ht="15.75" customHeight="1" x14ac:dyDescent="0.3">
      <c r="B973" s="33"/>
      <c r="C973" s="33"/>
      <c r="D973" s="33"/>
      <c r="E973" s="33"/>
      <c r="J973" s="33"/>
      <c r="M973" s="33"/>
      <c r="O973" s="33"/>
      <c r="P973" s="33"/>
      <c r="Q973" s="33"/>
    </row>
    <row r="974" spans="2:17" ht="15.75" customHeight="1" x14ac:dyDescent="0.3">
      <c r="B974" s="33"/>
      <c r="C974" s="33"/>
      <c r="D974" s="33"/>
      <c r="E974" s="33"/>
      <c r="J974" s="33"/>
      <c r="M974" s="33"/>
      <c r="O974" s="33"/>
      <c r="P974" s="33"/>
      <c r="Q974" s="33"/>
    </row>
    <row r="975" spans="2:17" ht="15.75" customHeight="1" x14ac:dyDescent="0.3">
      <c r="B975" s="33"/>
      <c r="C975" s="33"/>
      <c r="D975" s="33"/>
      <c r="E975" s="33"/>
      <c r="J975" s="33"/>
      <c r="M975" s="33"/>
      <c r="O975" s="33"/>
      <c r="P975" s="33"/>
      <c r="Q975" s="33"/>
    </row>
    <row r="976" spans="2:17" ht="15.75" customHeight="1" x14ac:dyDescent="0.3">
      <c r="B976" s="33"/>
      <c r="C976" s="33"/>
      <c r="D976" s="33"/>
      <c r="E976" s="33"/>
      <c r="J976" s="33"/>
      <c r="M976" s="33"/>
      <c r="O976" s="33"/>
      <c r="P976" s="33"/>
      <c r="Q976" s="33"/>
    </row>
    <row r="977" spans="2:17" ht="15.75" customHeight="1" x14ac:dyDescent="0.3">
      <c r="B977" s="33"/>
      <c r="C977" s="33"/>
      <c r="D977" s="33"/>
      <c r="E977" s="33"/>
      <c r="J977" s="33"/>
      <c r="M977" s="33"/>
      <c r="O977" s="33"/>
      <c r="P977" s="33"/>
      <c r="Q977" s="33"/>
    </row>
    <row r="978" spans="2:17" ht="15.75" customHeight="1" x14ac:dyDescent="0.3">
      <c r="B978" s="33"/>
      <c r="C978" s="33"/>
      <c r="D978" s="33"/>
      <c r="E978" s="33"/>
      <c r="J978" s="33"/>
      <c r="M978" s="33"/>
      <c r="O978" s="33"/>
      <c r="P978" s="33"/>
      <c r="Q978" s="33"/>
    </row>
    <row r="979" spans="2:17" ht="15.75" customHeight="1" x14ac:dyDescent="0.3">
      <c r="B979" s="33"/>
      <c r="C979" s="33"/>
      <c r="D979" s="33"/>
      <c r="E979" s="33"/>
      <c r="J979" s="33"/>
      <c r="M979" s="33"/>
      <c r="O979" s="33"/>
      <c r="P979" s="33"/>
      <c r="Q979" s="33"/>
    </row>
    <row r="980" spans="2:17" ht="15.75" customHeight="1" x14ac:dyDescent="0.3">
      <c r="B980" s="33"/>
      <c r="C980" s="33"/>
      <c r="D980" s="33"/>
      <c r="E980" s="33"/>
      <c r="J980" s="33"/>
      <c r="M980" s="33"/>
      <c r="O980" s="33"/>
      <c r="P980" s="33"/>
      <c r="Q980" s="33"/>
    </row>
    <row r="981" spans="2:17" ht="15.75" customHeight="1" x14ac:dyDescent="0.3">
      <c r="B981" s="33"/>
      <c r="C981" s="33"/>
      <c r="D981" s="33"/>
      <c r="E981" s="33"/>
      <c r="J981" s="33"/>
      <c r="M981" s="33"/>
      <c r="O981" s="33"/>
      <c r="P981" s="33"/>
      <c r="Q981" s="33"/>
    </row>
    <row r="982" spans="2:17" ht="15.75" customHeight="1" x14ac:dyDescent="0.3">
      <c r="B982" s="33"/>
      <c r="C982" s="33"/>
      <c r="D982" s="33"/>
      <c r="E982" s="33"/>
      <c r="J982" s="33"/>
      <c r="M982" s="33"/>
      <c r="O982" s="33"/>
      <c r="P982" s="33"/>
      <c r="Q982" s="33"/>
    </row>
    <row r="983" spans="2:17" ht="15.75" customHeight="1" x14ac:dyDescent="0.3">
      <c r="B983" s="33"/>
      <c r="C983" s="33"/>
      <c r="D983" s="33"/>
      <c r="E983" s="33"/>
      <c r="J983" s="33"/>
      <c r="M983" s="33"/>
      <c r="O983" s="33"/>
      <c r="P983" s="33"/>
      <c r="Q983" s="33"/>
    </row>
    <row r="984" spans="2:17" ht="15.75" customHeight="1" x14ac:dyDescent="0.3">
      <c r="B984" s="33"/>
      <c r="C984" s="33"/>
      <c r="D984" s="33"/>
      <c r="E984" s="33"/>
      <c r="J984" s="33"/>
      <c r="M984" s="33"/>
      <c r="O984" s="33"/>
      <c r="P984" s="33"/>
      <c r="Q984" s="33"/>
    </row>
    <row r="985" spans="2:17" ht="15.75" customHeight="1" x14ac:dyDescent="0.3">
      <c r="B985" s="33"/>
      <c r="C985" s="33"/>
      <c r="D985" s="33"/>
      <c r="E985" s="33"/>
      <c r="J985" s="33"/>
      <c r="M985" s="33"/>
      <c r="O985" s="33"/>
      <c r="P985" s="33"/>
      <c r="Q985" s="33"/>
    </row>
    <row r="986" spans="2:17" ht="15.75" customHeight="1" x14ac:dyDescent="0.3">
      <c r="B986" s="33"/>
      <c r="C986" s="33"/>
      <c r="D986" s="33"/>
      <c r="E986" s="33"/>
      <c r="J986" s="33"/>
      <c r="M986" s="33"/>
      <c r="O986" s="33"/>
      <c r="P986" s="33"/>
      <c r="Q986" s="33"/>
    </row>
    <row r="987" spans="2:17" ht="15.75" customHeight="1" x14ac:dyDescent="0.3">
      <c r="B987" s="33"/>
      <c r="C987" s="33"/>
      <c r="D987" s="33"/>
      <c r="E987" s="33"/>
      <c r="J987" s="33"/>
      <c r="M987" s="33"/>
      <c r="O987" s="33"/>
      <c r="P987" s="33"/>
      <c r="Q987" s="33"/>
    </row>
    <row r="988" spans="2:17" ht="15.75" customHeight="1" x14ac:dyDescent="0.3">
      <c r="B988" s="33"/>
      <c r="C988" s="33"/>
      <c r="D988" s="33"/>
      <c r="E988" s="33"/>
      <c r="J988" s="33"/>
      <c r="M988" s="33"/>
      <c r="O988" s="33"/>
      <c r="P988" s="33"/>
      <c r="Q988" s="33"/>
    </row>
    <row r="989" spans="2:17" ht="15.75" customHeight="1" x14ac:dyDescent="0.3">
      <c r="B989" s="33"/>
      <c r="C989" s="33"/>
      <c r="D989" s="33"/>
      <c r="E989" s="33"/>
      <c r="J989" s="33"/>
      <c r="M989" s="33"/>
      <c r="O989" s="33"/>
      <c r="P989" s="33"/>
      <c r="Q989" s="33"/>
    </row>
    <row r="990" spans="2:17" ht="15.75" customHeight="1" x14ac:dyDescent="0.3">
      <c r="B990" s="33"/>
      <c r="C990" s="33"/>
      <c r="D990" s="33"/>
      <c r="E990" s="33"/>
      <c r="J990" s="33"/>
      <c r="M990" s="33"/>
      <c r="O990" s="33"/>
      <c r="P990" s="33"/>
      <c r="Q990" s="33"/>
    </row>
    <row r="991" spans="2:17" ht="15.75" customHeight="1" x14ac:dyDescent="0.3">
      <c r="B991" s="33"/>
      <c r="C991" s="33"/>
      <c r="D991" s="33"/>
      <c r="E991" s="33"/>
      <c r="J991" s="33"/>
      <c r="M991" s="33"/>
      <c r="O991" s="33"/>
      <c r="P991" s="33"/>
      <c r="Q991" s="33"/>
    </row>
    <row r="992" spans="2:17" ht="15.75" customHeight="1" x14ac:dyDescent="0.3">
      <c r="B992" s="33"/>
      <c r="C992" s="33"/>
      <c r="D992" s="33"/>
      <c r="E992" s="33"/>
      <c r="J992" s="33"/>
      <c r="M992" s="33"/>
      <c r="O992" s="33"/>
      <c r="P992" s="33"/>
      <c r="Q992" s="33"/>
    </row>
    <row r="993" spans="2:17" ht="15.75" customHeight="1" x14ac:dyDescent="0.3">
      <c r="B993" s="33"/>
      <c r="C993" s="33"/>
      <c r="D993" s="33"/>
      <c r="E993" s="33"/>
      <c r="J993" s="33"/>
      <c r="M993" s="33"/>
      <c r="O993" s="33"/>
      <c r="P993" s="33"/>
      <c r="Q993" s="33"/>
    </row>
    <row r="994" spans="2:17" ht="15.75" customHeight="1" x14ac:dyDescent="0.3">
      <c r="B994" s="33"/>
      <c r="C994" s="33"/>
      <c r="D994" s="33"/>
      <c r="E994" s="33"/>
      <c r="J994" s="33"/>
      <c r="M994" s="33"/>
      <c r="O994" s="33"/>
      <c r="P994" s="33"/>
      <c r="Q994" s="33"/>
    </row>
    <row r="995" spans="2:17" ht="15.75" customHeight="1" x14ac:dyDescent="0.3">
      <c r="B995" s="33"/>
      <c r="C995" s="33"/>
      <c r="D995" s="33"/>
      <c r="E995" s="33"/>
      <c r="J995" s="33"/>
      <c r="M995" s="33"/>
      <c r="O995" s="33"/>
      <c r="P995" s="33"/>
      <c r="Q995" s="33"/>
    </row>
    <row r="996" spans="2:17" ht="15.75" customHeight="1" x14ac:dyDescent="0.3">
      <c r="B996" s="33"/>
      <c r="C996" s="33"/>
      <c r="D996" s="33"/>
      <c r="E996" s="33"/>
      <c r="J996" s="33"/>
      <c r="M996" s="33"/>
      <c r="O996" s="33"/>
      <c r="P996" s="33"/>
      <c r="Q996" s="33"/>
    </row>
    <row r="997" spans="2:17" ht="15.75" customHeight="1" x14ac:dyDescent="0.3">
      <c r="B997" s="33"/>
      <c r="C997" s="33"/>
      <c r="D997" s="33"/>
      <c r="E997" s="33"/>
      <c r="J997" s="33"/>
      <c r="M997" s="33"/>
      <c r="O997" s="33"/>
      <c r="P997" s="33"/>
      <c r="Q997" s="33"/>
    </row>
    <row r="998" spans="2:17" ht="15.75" customHeight="1" x14ac:dyDescent="0.3">
      <c r="B998" s="33"/>
      <c r="C998" s="33"/>
      <c r="D998" s="33"/>
      <c r="E998" s="33"/>
      <c r="J998" s="33"/>
      <c r="M998" s="33"/>
      <c r="O998" s="33"/>
      <c r="P998" s="33"/>
      <c r="Q998" s="33"/>
    </row>
    <row r="999" spans="2:17" ht="15.75" customHeight="1" x14ac:dyDescent="0.3">
      <c r="B999" s="33"/>
      <c r="C999" s="33"/>
      <c r="D999" s="33"/>
      <c r="E999" s="33"/>
      <c r="J999" s="33"/>
      <c r="M999" s="33"/>
      <c r="O999" s="33"/>
      <c r="P999" s="33"/>
      <c r="Q999" s="33"/>
    </row>
    <row r="1000" spans="2:17" ht="15.75" customHeight="1" x14ac:dyDescent="0.3">
      <c r="B1000" s="33"/>
      <c r="C1000" s="33"/>
      <c r="D1000" s="33"/>
      <c r="E1000" s="33"/>
      <c r="J1000" s="33"/>
      <c r="M1000" s="33"/>
      <c r="O1000" s="33"/>
      <c r="P1000" s="33"/>
      <c r="Q1000" s="33"/>
    </row>
  </sheetData>
  <autoFilter ref="A1:S562" xr:uid="{00000000-0009-0000-0000-000001000000}"/>
  <dataValidations count="10">
    <dataValidation type="list" allowBlank="1" showErrorMessage="1" sqref="M1:M1000" xr:uid="{00000000-0002-0000-0100-000000000000}">
      <formula1>"✅,📝"</formula1>
    </dataValidation>
    <dataValidation type="list" allowBlank="1" showErrorMessage="1" sqref="D1:D1000" xr:uid="{00000000-0002-0000-0100-000001000000}">
      <formula1>"🔴 Haute,🟡 Moyenne,🟢 Faible,Priorité"</formula1>
    </dataValidation>
    <dataValidation type="list" allowBlank="1" showErrorMessage="1" sqref="C1:C1000" xr:uid="{00000000-0002-0000-0100-000002000000}">
      <formula1>"📅 2-3 mois,📅 3-6 mois,📅 Dans 1 mois,🔥 Immédiatement,🕐 +6 mois,Urgence"</formula1>
    </dataValidation>
    <dataValidation type="list" allowBlank="1" showErrorMessage="1" sqref="J1:J1000" xr:uid="{00000000-0002-0000-0100-000003000000}">
      <formula1>"Basma,Karim Zniber,Oumaima,Agent"</formula1>
    </dataValidation>
    <dataValidation type="list" allowBlank="1" showErrorMessage="1" sqref="O1:O1000" xr:uid="{00000000-0002-0000-0100-000004000000}">
      <formula1>"Cash,Crédit bancaire,En cours d'étude,Financement"</formula1>
    </dataValidation>
    <dataValidation type="list" allowBlank="1" showErrorMessage="1" sqref="P1:P1000" xr:uid="{00000000-0002-0000-0100-000005000000}">
      <formula1>"118,4eme,Abidjan,Abu Dhabi,Agacdir,Agadir,agadir,ait.i3za.,Al Huceima,Al Khmissat,Al Mediq,Azrou,Barcelona,Ben Slimane,Beni Mellal,béni mellal,Berkan,Casa,casa,Casa Blanca,casablaca,Casablanca,casablanca,CASABLANCA,Casablanca bv med V,Casablanca maroc,Cas"&amp;"ablancs,Casablnaca,ccc,Cluj-Napoca,Dakar,Derroua,El Jadida,El jadida,Er Rachidia,fes,Fes,Fez,gero a,Harhoura,Kawtar slimani,kelaa sraghna,Kenitra,kenitra,Kénitra,Khénifra,Le Raincy,London,Malnes,Maroco,Marrakech,marrakech,Marrakech village,Marrakesh,Marti"&amp;"l,Mazagan,Mehdia,meknes,Meknes,mèknes,Melloussa,merci de me transmettre le prix etlocalisation,Mohammedia,mohammedia,Mohammédia,Montreal,Nador,New Fes,New York,Nice,Ouazzane,Oudja,Oujda,oujda,Paris,Philadelphia,Ponta Delgada,Puerto Cansado,Rabat,rabat,Rab"&amp;"at agdal,Safi,sala eljadida,Salé,salé,Settat,Sevilla,Sidi Bidi,Taghazout,Tamesna,Tanger,tanger,Tanger Boukhalef,Tangier,Taroudant,Temara,Témara,Tetouan,Tétouan,Villa Alhucemas,Ville,Villeneuve-d'Ascq,zaio,الدر البيصاء,العيون سيدي ملوك,الفقيه بن صالح,تازة,"&amp;"زهرة,سرو ولا,سيدي بنور,طنجة,فاس,كازا"</formula1>
    </dataValidation>
    <dataValidation type="list" allowBlank="1" showErrorMessage="1" sqref="B1:B1000" xr:uid="{00000000-0002-0000-0100-000006000000}">
      <formula1>"✅ Gagné,❌ Perdu,📋 À traiter,🔄 En cours,Statut"</formula1>
    </dataValidation>
    <dataValidation type="list" allowBlank="1" showErrorMessage="1" sqref="N1" xr:uid="{00000000-0002-0000-0100-000007000000}">
      <formula1>"Notes / Journal"</formula1>
    </dataValidation>
    <dataValidation type="list" allowBlank="1" showErrorMessage="1" sqref="Q1:Q1000" xr:uid="{00000000-0002-0000-0100-000008000000}">
      <formula1>"Appart,appart hjajma,Appart Marina casa,Appart racine extension,Appart route dazemmour,appart route dazmmoure,appartement lhjajma,appartement marina casablanca,appartement racine extention,appartement route dazmmoure,Bureau,Bureau / local commercial,Burea"&amp;"u individuel,Bureau pour siège social,Bureau,local commercial,penthouse ferme bretonne,Penthouse Ferme bretonne,Penthouse ferme bretonne,Plateau open space,RDJ dar bouazza,Studio,studio 2 mars,studio CFC,Studio CFC,studio ferme bretonne,studio ferme brett"&amp;"one,studio ferme brettone 2,studio marina,Studio Marina Casa,Studio meublé,Studio Sefrioui,Terrain,Triplex ain diab,triplex ain diab,Type / Bien visé,Villa,Villa ain diab,villa ain diab,Villa Ain Diab,Villa ain diab ou CIL,villa calif,villa CGI,Villa CGI"</formula1>
    </dataValidation>
    <dataValidation type="list" allowBlank="1" showErrorMessage="1" sqref="E1:E1000" xr:uid="{00000000-0002-0000-0100-000009000000}">
      <formula1>"Achat,Estimation,Investissement,Location,Louer son bien,Vente,Categorie"</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4140625" defaultRowHeight="15" customHeight="1" x14ac:dyDescent="0.3"/>
  <cols>
    <col min="1" max="1" width="24" customWidth="1"/>
    <col min="2" max="2" width="55" customWidth="1"/>
    <col min="3" max="26" width="8.6640625" customWidth="1"/>
  </cols>
  <sheetData>
    <row r="1" spans="1:2" ht="31.5" customHeight="1" x14ac:dyDescent="0.3">
      <c r="A1" s="341" t="s">
        <v>2122</v>
      </c>
      <c r="B1" s="338"/>
    </row>
    <row r="2" spans="1:2" ht="19.5" customHeight="1" x14ac:dyDescent="0.3">
      <c r="A2" s="215"/>
      <c r="B2" s="215"/>
    </row>
    <row r="3" spans="1:2" ht="19.5" customHeight="1" x14ac:dyDescent="0.3">
      <c r="A3" s="216" t="s">
        <v>2123</v>
      </c>
      <c r="B3" s="216"/>
    </row>
    <row r="4" spans="1:2" ht="19.5" customHeight="1" x14ac:dyDescent="0.3">
      <c r="A4" s="217" t="s">
        <v>2124</v>
      </c>
      <c r="B4" s="215" t="s">
        <v>2125</v>
      </c>
    </row>
    <row r="5" spans="1:2" ht="19.5" customHeight="1" x14ac:dyDescent="0.3">
      <c r="A5" s="217" t="s">
        <v>2126</v>
      </c>
      <c r="B5" s="215" t="s">
        <v>2127</v>
      </c>
    </row>
    <row r="6" spans="1:2" ht="19.5" customHeight="1" x14ac:dyDescent="0.3">
      <c r="A6" s="217" t="s">
        <v>2128</v>
      </c>
      <c r="B6" s="215" t="s">
        <v>2129</v>
      </c>
    </row>
    <row r="7" spans="1:2" ht="19.5" customHeight="1" x14ac:dyDescent="0.3">
      <c r="A7" s="217" t="s">
        <v>2130</v>
      </c>
      <c r="B7" s="215" t="s">
        <v>2131</v>
      </c>
    </row>
    <row r="8" spans="1:2" ht="19.5" customHeight="1" x14ac:dyDescent="0.3">
      <c r="A8" s="217" t="s">
        <v>2132</v>
      </c>
      <c r="B8" s="215" t="s">
        <v>2133</v>
      </c>
    </row>
    <row r="9" spans="1:2" ht="19.5" customHeight="1" x14ac:dyDescent="0.3">
      <c r="A9" s="215"/>
      <c r="B9" s="215"/>
    </row>
    <row r="10" spans="1:2" ht="19.5" customHeight="1" x14ac:dyDescent="0.3">
      <c r="A10" s="216" t="s">
        <v>2134</v>
      </c>
      <c r="B10" s="216"/>
    </row>
    <row r="11" spans="1:2" ht="19.5" customHeight="1" x14ac:dyDescent="0.3">
      <c r="A11" s="217" t="s">
        <v>2135</v>
      </c>
      <c r="B11" s="215" t="s">
        <v>2136</v>
      </c>
    </row>
    <row r="12" spans="1:2" ht="19.5" customHeight="1" x14ac:dyDescent="0.3">
      <c r="A12" s="217" t="s">
        <v>2137</v>
      </c>
      <c r="B12" s="215" t="s">
        <v>2138</v>
      </c>
    </row>
    <row r="13" spans="1:2" ht="19.5" customHeight="1" x14ac:dyDescent="0.3">
      <c r="A13" s="217" t="s">
        <v>2139</v>
      </c>
      <c r="B13" s="215" t="s">
        <v>2140</v>
      </c>
    </row>
    <row r="14" spans="1:2" ht="19.5" customHeight="1" x14ac:dyDescent="0.3">
      <c r="A14" s="217" t="s">
        <v>2141</v>
      </c>
      <c r="B14" s="215" t="s">
        <v>2142</v>
      </c>
    </row>
    <row r="15" spans="1:2" ht="19.5" customHeight="1" x14ac:dyDescent="0.3">
      <c r="A15" s="217" t="s">
        <v>2143</v>
      </c>
      <c r="B15" s="215" t="s">
        <v>2144</v>
      </c>
    </row>
    <row r="16" spans="1:2" ht="19.5" customHeight="1" x14ac:dyDescent="0.3">
      <c r="A16" s="215"/>
      <c r="B16" s="215"/>
    </row>
    <row r="17" spans="1:2" ht="19.5" customHeight="1" x14ac:dyDescent="0.3">
      <c r="A17" s="216" t="s">
        <v>2145</v>
      </c>
      <c r="B17" s="216"/>
    </row>
    <row r="18" spans="1:2" ht="19.5" customHeight="1" x14ac:dyDescent="0.3">
      <c r="A18" s="217" t="s">
        <v>19</v>
      </c>
      <c r="B18" s="215" t="s">
        <v>2146</v>
      </c>
    </row>
    <row r="19" spans="1:2" ht="19.5" customHeight="1" x14ac:dyDescent="0.3">
      <c r="A19" s="217" t="s">
        <v>3</v>
      </c>
      <c r="B19" s="215" t="s">
        <v>2147</v>
      </c>
    </row>
    <row r="20" spans="1:2" ht="19.5" customHeight="1" x14ac:dyDescent="0.3">
      <c r="A20" s="217" t="s">
        <v>4</v>
      </c>
      <c r="B20" s="215" t="s">
        <v>2148</v>
      </c>
    </row>
    <row r="21" spans="1:2" ht="19.5" customHeight="1" x14ac:dyDescent="0.3">
      <c r="A21" s="217" t="s">
        <v>20</v>
      </c>
      <c r="B21" s="215" t="s">
        <v>2149</v>
      </c>
    </row>
    <row r="22" spans="1:2" ht="19.5" customHeight="1" x14ac:dyDescent="0.3">
      <c r="A22" s="217" t="s">
        <v>21</v>
      </c>
      <c r="B22" s="215" t="s">
        <v>2150</v>
      </c>
    </row>
    <row r="23" spans="1:2" ht="19.5" customHeight="1" x14ac:dyDescent="0.3">
      <c r="A23" s="215"/>
      <c r="B23" s="215"/>
    </row>
    <row r="24" spans="1:2" ht="19.5" customHeight="1" x14ac:dyDescent="0.3">
      <c r="A24" s="215" t="s">
        <v>2151</v>
      </c>
      <c r="B24" s="215"/>
    </row>
    <row r="25" spans="1:2" ht="19.5" customHeight="1" x14ac:dyDescent="0.3">
      <c r="A25" s="217" t="s">
        <v>250</v>
      </c>
      <c r="B25" s="215" t="s">
        <v>2152</v>
      </c>
    </row>
    <row r="26" spans="1:2" ht="19.5" customHeight="1" x14ac:dyDescent="0.3">
      <c r="A26" s="217" t="s">
        <v>5</v>
      </c>
      <c r="B26" s="215" t="s">
        <v>2153</v>
      </c>
    </row>
    <row r="27" spans="1:2" ht="19.5" customHeight="1" x14ac:dyDescent="0.3">
      <c r="A27" s="217" t="s">
        <v>2154</v>
      </c>
      <c r="B27" s="215" t="s">
        <v>2155</v>
      </c>
    </row>
    <row r="28" spans="1:2" ht="19.5" customHeight="1" x14ac:dyDescent="0.3">
      <c r="A28" s="217" t="s">
        <v>189</v>
      </c>
      <c r="B28" s="215" t="s">
        <v>2156</v>
      </c>
    </row>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workbookViewId="0">
      <pane ySplit="3" topLeftCell="A4" activePane="bottomLeft" state="frozen"/>
      <selection pane="bottomLeft"/>
    </sheetView>
  </sheetViews>
  <sheetFormatPr defaultRowHeight="14.4" x14ac:dyDescent="0.3"/>
  <cols>
    <col min="1" max="1" width="4" customWidth="1"/>
    <col min="2" max="2" width="10" customWidth="1"/>
    <col min="3" max="3" width="14" customWidth="1"/>
    <col min="4" max="4" width="11" customWidth="1"/>
    <col min="5" max="6" width="16" customWidth="1"/>
    <col min="7" max="7" width="10" customWidth="1"/>
    <col min="8" max="8" width="9" customWidth="1"/>
    <col min="9" max="9" width="8" customWidth="1"/>
    <col min="10" max="11" width="7" customWidth="1"/>
    <col min="12" max="12" width="9" customWidth="1"/>
    <col min="13" max="13" width="12" customWidth="1"/>
    <col min="14" max="14" width="10" customWidth="1"/>
    <col min="15" max="17" width="14" customWidth="1"/>
    <col min="18" max="18" width="55" customWidth="1"/>
    <col min="19" max="19" width="30" customWidth="1"/>
    <col min="20" max="20" width="14" customWidth="1"/>
  </cols>
  <sheetData>
    <row r="1" spans="1:20" ht="25.95" customHeight="1" x14ac:dyDescent="0.3">
      <c r="A1" s="342" t="s">
        <v>2157</v>
      </c>
      <c r="B1" s="338"/>
      <c r="C1" s="338"/>
      <c r="D1" s="338"/>
      <c r="E1" s="338"/>
      <c r="F1" s="338"/>
      <c r="G1" s="338"/>
      <c r="H1" s="338"/>
      <c r="I1" s="338"/>
      <c r="J1" s="338"/>
      <c r="K1" s="338"/>
      <c r="L1" s="338"/>
      <c r="M1" s="338"/>
      <c r="N1" s="338"/>
      <c r="O1" s="338"/>
      <c r="P1" s="338"/>
      <c r="Q1" s="338"/>
      <c r="R1" s="338"/>
      <c r="S1" s="338"/>
      <c r="T1" s="338"/>
    </row>
    <row r="2" spans="1:20" ht="13.95" customHeight="1" x14ac:dyDescent="0.3">
      <c r="A2" s="343" t="s">
        <v>2158</v>
      </c>
      <c r="B2" s="338"/>
      <c r="C2" s="338"/>
      <c r="D2" s="338"/>
      <c r="E2" s="338"/>
      <c r="F2" s="338"/>
      <c r="G2" s="338"/>
      <c r="H2" s="338"/>
      <c r="I2" s="338"/>
      <c r="J2" s="338"/>
      <c r="K2" s="338"/>
      <c r="L2" s="338"/>
      <c r="M2" s="338"/>
      <c r="N2" s="338"/>
      <c r="O2" s="338"/>
      <c r="P2" s="338"/>
      <c r="Q2" s="338"/>
      <c r="R2" s="338"/>
      <c r="S2" s="338"/>
      <c r="T2" s="338"/>
    </row>
    <row r="3" spans="1:20" ht="28.05" customHeight="1" x14ac:dyDescent="0.3">
      <c r="A3" s="218" t="s">
        <v>30</v>
      </c>
      <c r="B3" s="218" t="s">
        <v>46</v>
      </c>
      <c r="C3" s="218" t="s">
        <v>2159</v>
      </c>
      <c r="D3" s="218" t="s">
        <v>2160</v>
      </c>
      <c r="E3" s="218" t="s">
        <v>2161</v>
      </c>
      <c r="F3" s="218" t="s">
        <v>2162</v>
      </c>
      <c r="G3" s="218" t="s">
        <v>2163</v>
      </c>
      <c r="H3" s="218" t="s">
        <v>2164</v>
      </c>
      <c r="I3" s="218" t="s">
        <v>2165</v>
      </c>
      <c r="J3" s="218" t="s">
        <v>2166</v>
      </c>
      <c r="K3" s="218" t="s">
        <v>2167</v>
      </c>
      <c r="L3" s="218" t="s">
        <v>2168</v>
      </c>
      <c r="M3" s="218" t="s">
        <v>2169</v>
      </c>
      <c r="N3" s="218" t="s">
        <v>31</v>
      </c>
      <c r="O3" s="218" t="s">
        <v>2170</v>
      </c>
      <c r="P3" s="218" t="s">
        <v>2171</v>
      </c>
      <c r="Q3" s="218" t="s">
        <v>2172</v>
      </c>
      <c r="R3" s="218" t="s">
        <v>2173</v>
      </c>
      <c r="S3" s="218" t="s">
        <v>2174</v>
      </c>
      <c r="T3" s="218" t="s">
        <v>2175</v>
      </c>
    </row>
    <row r="4" spans="1:20" ht="60" customHeight="1" x14ac:dyDescent="0.3">
      <c r="A4" s="219">
        <v>1</v>
      </c>
      <c r="B4" s="220" t="s">
        <v>2176</v>
      </c>
      <c r="C4" s="221" t="s">
        <v>97</v>
      </c>
      <c r="D4" s="222" t="s">
        <v>15</v>
      </c>
      <c r="E4" s="223" t="s">
        <v>2177</v>
      </c>
      <c r="F4" s="222" t="s">
        <v>2178</v>
      </c>
      <c r="G4" s="224" t="s">
        <v>2179</v>
      </c>
      <c r="H4" s="225" t="s">
        <v>2180</v>
      </c>
      <c r="I4" s="226">
        <v>4</v>
      </c>
      <c r="J4" s="226">
        <v>3</v>
      </c>
      <c r="K4" s="226">
        <v>3</v>
      </c>
      <c r="L4" s="225" t="s">
        <v>2181</v>
      </c>
      <c r="M4" s="225" t="s">
        <v>2182</v>
      </c>
      <c r="N4" s="227" t="s">
        <v>2183</v>
      </c>
      <c r="O4" s="228"/>
      <c r="P4" s="229" t="s">
        <v>2184</v>
      </c>
      <c r="Q4" s="229" t="s">
        <v>2185</v>
      </c>
      <c r="R4" s="230" t="s">
        <v>2186</v>
      </c>
      <c r="S4" s="231"/>
      <c r="T4" s="225"/>
    </row>
    <row r="5" spans="1:20" ht="60" customHeight="1" x14ac:dyDescent="0.3">
      <c r="A5" s="219">
        <v>2</v>
      </c>
      <c r="B5" s="220" t="s">
        <v>2187</v>
      </c>
      <c r="C5" s="221" t="s">
        <v>97</v>
      </c>
      <c r="D5" s="222" t="s">
        <v>15</v>
      </c>
      <c r="E5" s="223" t="s">
        <v>2188</v>
      </c>
      <c r="F5" s="222" t="s">
        <v>2189</v>
      </c>
      <c r="G5" s="224" t="s">
        <v>2190</v>
      </c>
      <c r="H5" s="225" t="s">
        <v>2180</v>
      </c>
      <c r="I5" s="226">
        <v>7</v>
      </c>
      <c r="J5" s="226">
        <v>3</v>
      </c>
      <c r="K5" s="226">
        <v>6</v>
      </c>
      <c r="L5" s="225"/>
      <c r="M5" s="225" t="s">
        <v>2191</v>
      </c>
      <c r="N5" s="227" t="s">
        <v>2183</v>
      </c>
      <c r="O5" s="228"/>
      <c r="P5" s="229" t="s">
        <v>2184</v>
      </c>
      <c r="Q5" s="229" t="s">
        <v>2184</v>
      </c>
      <c r="R5" s="230" t="s">
        <v>2192</v>
      </c>
      <c r="S5" s="231"/>
      <c r="T5" s="225"/>
    </row>
    <row r="6" spans="1:20" ht="60" customHeight="1" x14ac:dyDescent="0.3">
      <c r="A6" s="219">
        <v>3</v>
      </c>
      <c r="B6" s="220" t="s">
        <v>2193</v>
      </c>
      <c r="C6" s="221" t="s">
        <v>97</v>
      </c>
      <c r="D6" s="222" t="s">
        <v>15</v>
      </c>
      <c r="E6" s="223" t="s">
        <v>2194</v>
      </c>
      <c r="F6" s="222" t="s">
        <v>2195</v>
      </c>
      <c r="G6" s="224" t="s">
        <v>2196</v>
      </c>
      <c r="H6" s="225" t="s">
        <v>2180</v>
      </c>
      <c r="I6" s="226">
        <v>8</v>
      </c>
      <c r="J6" s="226">
        <v>3</v>
      </c>
      <c r="K6" s="226">
        <v>8</v>
      </c>
      <c r="L6" s="225" t="s">
        <v>2197</v>
      </c>
      <c r="M6" s="225" t="s">
        <v>2198</v>
      </c>
      <c r="N6" s="227" t="s">
        <v>2183</v>
      </c>
      <c r="O6" s="228"/>
      <c r="P6" s="229" t="s">
        <v>2184</v>
      </c>
      <c r="Q6" s="229" t="s">
        <v>2184</v>
      </c>
      <c r="R6" s="230" t="s">
        <v>2199</v>
      </c>
      <c r="S6" s="231"/>
      <c r="T6" s="225"/>
    </row>
    <row r="7" spans="1:20" ht="60" customHeight="1" x14ac:dyDescent="0.3">
      <c r="A7" s="219">
        <v>4</v>
      </c>
      <c r="B7" s="220" t="s">
        <v>2105</v>
      </c>
      <c r="C7" s="221" t="s">
        <v>97</v>
      </c>
      <c r="D7" s="222" t="s">
        <v>15</v>
      </c>
      <c r="E7" s="223" t="s">
        <v>2200</v>
      </c>
      <c r="F7" s="222" t="s">
        <v>2201</v>
      </c>
      <c r="G7" s="224" t="s">
        <v>2202</v>
      </c>
      <c r="H7" s="225" t="s">
        <v>2180</v>
      </c>
      <c r="I7" s="226">
        <v>4</v>
      </c>
      <c r="J7" s="226">
        <v>3</v>
      </c>
      <c r="K7" s="226">
        <v>4</v>
      </c>
      <c r="L7" s="225" t="s">
        <v>2203</v>
      </c>
      <c r="M7" s="225" t="s">
        <v>2198</v>
      </c>
      <c r="N7" s="227" t="s">
        <v>2183</v>
      </c>
      <c r="O7" s="228"/>
      <c r="P7" s="229" t="s">
        <v>2184</v>
      </c>
      <c r="Q7" s="229" t="s">
        <v>2184</v>
      </c>
      <c r="R7" s="230" t="s">
        <v>2204</v>
      </c>
      <c r="S7" s="231"/>
      <c r="T7" s="225"/>
    </row>
    <row r="8" spans="1:20" ht="60" customHeight="1" x14ac:dyDescent="0.3">
      <c r="A8" s="219">
        <v>5</v>
      </c>
      <c r="B8" s="220" t="s">
        <v>2205</v>
      </c>
      <c r="C8" s="221" t="s">
        <v>97</v>
      </c>
      <c r="D8" s="222" t="s">
        <v>15</v>
      </c>
      <c r="E8" s="223" t="s">
        <v>2206</v>
      </c>
      <c r="F8" s="222" t="s">
        <v>2207</v>
      </c>
      <c r="G8" s="224" t="s">
        <v>2208</v>
      </c>
      <c r="H8" s="225" t="s">
        <v>2180</v>
      </c>
      <c r="I8" s="226">
        <v>4</v>
      </c>
      <c r="J8" s="226">
        <v>3</v>
      </c>
      <c r="K8" s="226">
        <v>5</v>
      </c>
      <c r="L8" s="225" t="s">
        <v>2197</v>
      </c>
      <c r="M8" s="225" t="s">
        <v>2191</v>
      </c>
      <c r="N8" s="227" t="s">
        <v>2183</v>
      </c>
      <c r="O8" s="228"/>
      <c r="P8" s="229" t="s">
        <v>2184</v>
      </c>
      <c r="Q8" s="229" t="s">
        <v>2184</v>
      </c>
      <c r="R8" s="230" t="s">
        <v>2209</v>
      </c>
      <c r="S8" s="231"/>
      <c r="T8" s="225"/>
    </row>
    <row r="9" spans="1:20" ht="60" customHeight="1" x14ac:dyDescent="0.3">
      <c r="A9" s="219">
        <v>6</v>
      </c>
      <c r="B9" s="220" t="s">
        <v>2210</v>
      </c>
      <c r="C9" s="221" t="s">
        <v>97</v>
      </c>
      <c r="D9" s="222" t="s">
        <v>15</v>
      </c>
      <c r="E9" s="223" t="s">
        <v>2211</v>
      </c>
      <c r="F9" s="222" t="s">
        <v>2212</v>
      </c>
      <c r="G9" s="224" t="s">
        <v>2213</v>
      </c>
      <c r="H9" s="225" t="s">
        <v>2180</v>
      </c>
      <c r="I9" s="226">
        <v>6</v>
      </c>
      <c r="J9" s="226">
        <v>3</v>
      </c>
      <c r="K9" s="226">
        <v>5</v>
      </c>
      <c r="L9" s="225" t="s">
        <v>2181</v>
      </c>
      <c r="M9" s="225" t="s">
        <v>2191</v>
      </c>
      <c r="N9" s="227" t="s">
        <v>2183</v>
      </c>
      <c r="O9" s="228"/>
      <c r="P9" s="229" t="s">
        <v>2184</v>
      </c>
      <c r="Q9" s="229" t="s">
        <v>2184</v>
      </c>
      <c r="R9" s="230" t="s">
        <v>2214</v>
      </c>
      <c r="S9" s="231"/>
      <c r="T9" s="225"/>
    </row>
    <row r="10" spans="1:20" ht="60" customHeight="1" x14ac:dyDescent="0.3">
      <c r="A10" s="219">
        <v>7</v>
      </c>
      <c r="B10" s="220" t="s">
        <v>2215</v>
      </c>
      <c r="C10" s="221" t="s">
        <v>97</v>
      </c>
      <c r="D10" s="222" t="s">
        <v>15</v>
      </c>
      <c r="E10" s="223" t="s">
        <v>2206</v>
      </c>
      <c r="F10" s="222" t="s">
        <v>2216</v>
      </c>
      <c r="G10" s="224" t="s">
        <v>2217</v>
      </c>
      <c r="H10" s="225" t="s">
        <v>2180</v>
      </c>
      <c r="I10" s="226">
        <v>5</v>
      </c>
      <c r="J10" s="226">
        <v>2</v>
      </c>
      <c r="K10" s="226">
        <v>3</v>
      </c>
      <c r="L10" s="225" t="s">
        <v>2181</v>
      </c>
      <c r="M10" s="225" t="s">
        <v>2191</v>
      </c>
      <c r="N10" s="227" t="s">
        <v>2183</v>
      </c>
      <c r="O10" s="228"/>
      <c r="P10" s="229" t="s">
        <v>2184</v>
      </c>
      <c r="Q10" s="229" t="s">
        <v>2184</v>
      </c>
      <c r="R10" s="230" t="s">
        <v>2218</v>
      </c>
      <c r="S10" s="231"/>
      <c r="T10" s="225" t="s">
        <v>2219</v>
      </c>
    </row>
    <row r="11" spans="1:20" ht="60" customHeight="1" x14ac:dyDescent="0.3">
      <c r="A11" s="219">
        <v>8</v>
      </c>
      <c r="B11" s="220" t="s">
        <v>2220</v>
      </c>
      <c r="C11" s="221" t="s">
        <v>2221</v>
      </c>
      <c r="D11" s="222" t="s">
        <v>15</v>
      </c>
      <c r="E11" s="223" t="s">
        <v>2222</v>
      </c>
      <c r="F11" s="222" t="s">
        <v>2223</v>
      </c>
      <c r="G11" s="224" t="s">
        <v>2224</v>
      </c>
      <c r="H11" s="225" t="s">
        <v>2180</v>
      </c>
      <c r="I11" s="226"/>
      <c r="J11" s="226"/>
      <c r="K11" s="226"/>
      <c r="L11" s="225"/>
      <c r="M11" s="225" t="s">
        <v>2191</v>
      </c>
      <c r="N11" s="227" t="s">
        <v>2183</v>
      </c>
      <c r="O11" s="228"/>
      <c r="P11" s="229" t="s">
        <v>2184</v>
      </c>
      <c r="Q11" s="229" t="s">
        <v>2184</v>
      </c>
      <c r="R11" s="230" t="s">
        <v>2225</v>
      </c>
      <c r="S11" s="231"/>
      <c r="T11" s="225" t="s">
        <v>2219</v>
      </c>
    </row>
    <row r="12" spans="1:20" ht="60" customHeight="1" x14ac:dyDescent="0.3">
      <c r="A12" s="219">
        <v>9</v>
      </c>
      <c r="B12" s="220" t="s">
        <v>2226</v>
      </c>
      <c r="C12" s="221" t="s">
        <v>97</v>
      </c>
      <c r="D12" s="232" t="s">
        <v>14</v>
      </c>
      <c r="E12" s="223" t="s">
        <v>2227</v>
      </c>
      <c r="F12" s="222" t="s">
        <v>2228</v>
      </c>
      <c r="G12" s="224" t="s">
        <v>2229</v>
      </c>
      <c r="H12" s="225" t="s">
        <v>2180</v>
      </c>
      <c r="I12" s="226">
        <v>3</v>
      </c>
      <c r="J12" s="226">
        <v>3</v>
      </c>
      <c r="K12" s="226">
        <v>3</v>
      </c>
      <c r="L12" s="225" t="s">
        <v>2203</v>
      </c>
      <c r="M12" s="225" t="s">
        <v>2198</v>
      </c>
      <c r="N12" s="227" t="s">
        <v>2183</v>
      </c>
      <c r="O12" s="228"/>
      <c r="P12" s="229" t="s">
        <v>2184</v>
      </c>
      <c r="Q12" s="233"/>
      <c r="R12" s="230" t="s">
        <v>2230</v>
      </c>
      <c r="S12" s="231"/>
      <c r="T12" s="225"/>
    </row>
    <row r="13" spans="1:20" ht="60" customHeight="1" x14ac:dyDescent="0.3">
      <c r="A13" s="234">
        <v>10</v>
      </c>
      <c r="B13" s="235" t="s">
        <v>707</v>
      </c>
      <c r="C13" s="236" t="s">
        <v>2231</v>
      </c>
      <c r="D13" s="237" t="s">
        <v>14</v>
      </c>
      <c r="E13" s="238" t="s">
        <v>2232</v>
      </c>
      <c r="F13" s="239" t="s">
        <v>2233</v>
      </c>
      <c r="G13" s="240" t="s">
        <v>2234</v>
      </c>
      <c r="H13" s="241" t="s">
        <v>2164</v>
      </c>
      <c r="I13" s="242">
        <v>2</v>
      </c>
      <c r="J13" s="242">
        <v>1</v>
      </c>
      <c r="K13" s="242">
        <v>2</v>
      </c>
      <c r="L13" s="241">
        <v>4</v>
      </c>
      <c r="M13" s="241" t="s">
        <v>2198</v>
      </c>
      <c r="N13" s="243" t="s">
        <v>2183</v>
      </c>
      <c r="O13" s="244"/>
      <c r="P13" s="245" t="s">
        <v>2184</v>
      </c>
      <c r="Q13" s="245" t="s">
        <v>2184</v>
      </c>
      <c r="R13" s="246" t="s">
        <v>2235</v>
      </c>
      <c r="S13" s="247" t="s">
        <v>14</v>
      </c>
      <c r="T13" s="241"/>
    </row>
    <row r="14" spans="1:20" ht="60" customHeight="1" x14ac:dyDescent="0.3">
      <c r="A14" s="234">
        <v>11</v>
      </c>
      <c r="B14" s="235" t="s">
        <v>2236</v>
      </c>
      <c r="C14" s="236" t="s">
        <v>2231</v>
      </c>
      <c r="D14" s="237" t="s">
        <v>14</v>
      </c>
      <c r="E14" s="238" t="s">
        <v>2200</v>
      </c>
      <c r="F14" s="239" t="s">
        <v>2237</v>
      </c>
      <c r="G14" s="240" t="s">
        <v>2238</v>
      </c>
      <c r="H14" s="241" t="s">
        <v>2164</v>
      </c>
      <c r="I14" s="242">
        <v>4</v>
      </c>
      <c r="J14" s="242">
        <v>2</v>
      </c>
      <c r="K14" s="242">
        <v>5</v>
      </c>
      <c r="L14" s="241">
        <v>12</v>
      </c>
      <c r="M14" s="241" t="s">
        <v>2198</v>
      </c>
      <c r="N14" s="243" t="s">
        <v>2183</v>
      </c>
      <c r="O14" s="244"/>
      <c r="P14" s="245" t="s">
        <v>2184</v>
      </c>
      <c r="Q14" s="245" t="s">
        <v>2184</v>
      </c>
      <c r="R14" s="246" t="s">
        <v>2239</v>
      </c>
      <c r="S14" s="247" t="s">
        <v>14</v>
      </c>
      <c r="T14" s="241"/>
    </row>
    <row r="15" spans="1:20" ht="60" customHeight="1" x14ac:dyDescent="0.3">
      <c r="A15" s="248">
        <v>12</v>
      </c>
      <c r="B15" s="249" t="s">
        <v>1511</v>
      </c>
      <c r="C15" s="250" t="s">
        <v>2240</v>
      </c>
      <c r="D15" s="251" t="s">
        <v>15</v>
      </c>
      <c r="E15" s="252" t="s">
        <v>2241</v>
      </c>
      <c r="F15" s="251" t="s">
        <v>2242</v>
      </c>
      <c r="G15" s="253" t="s">
        <v>2243</v>
      </c>
      <c r="H15" s="254" t="s">
        <v>2180</v>
      </c>
      <c r="I15" s="255">
        <v>3</v>
      </c>
      <c r="J15" s="255">
        <v>2</v>
      </c>
      <c r="K15" s="255">
        <v>3</v>
      </c>
      <c r="L15" s="254">
        <v>1</v>
      </c>
      <c r="M15" s="254" t="s">
        <v>2198</v>
      </c>
      <c r="N15" s="256" t="s">
        <v>2183</v>
      </c>
      <c r="O15" s="257"/>
      <c r="P15" s="258" t="s">
        <v>2184</v>
      </c>
      <c r="Q15" s="258" t="s">
        <v>2184</v>
      </c>
      <c r="R15" s="259" t="s">
        <v>2244</v>
      </c>
      <c r="S15" s="260"/>
      <c r="T15" s="254"/>
    </row>
    <row r="16" spans="1:20" ht="60" customHeight="1" x14ac:dyDescent="0.3">
      <c r="A16" s="248">
        <v>13</v>
      </c>
      <c r="B16" s="249" t="s">
        <v>2245</v>
      </c>
      <c r="C16" s="250" t="s">
        <v>2240</v>
      </c>
      <c r="D16" s="251" t="s">
        <v>15</v>
      </c>
      <c r="E16" s="252" t="s">
        <v>2246</v>
      </c>
      <c r="F16" s="251" t="s">
        <v>2247</v>
      </c>
      <c r="G16" s="253" t="s">
        <v>2248</v>
      </c>
      <c r="H16" s="254" t="s">
        <v>2180</v>
      </c>
      <c r="I16" s="255">
        <v>2</v>
      </c>
      <c r="J16" s="255">
        <v>2</v>
      </c>
      <c r="K16" s="255">
        <v>3</v>
      </c>
      <c r="L16" s="254"/>
      <c r="M16" s="254" t="s">
        <v>2249</v>
      </c>
      <c r="N16" s="256" t="s">
        <v>2183</v>
      </c>
      <c r="O16" s="257"/>
      <c r="P16" s="258" t="s">
        <v>2184</v>
      </c>
      <c r="Q16" s="258" t="s">
        <v>2184</v>
      </c>
      <c r="R16" s="259" t="s">
        <v>2250</v>
      </c>
      <c r="S16" s="260"/>
      <c r="T16" s="254"/>
    </row>
    <row r="17" spans="1:20" ht="60" customHeight="1" x14ac:dyDescent="0.3">
      <c r="A17" s="248">
        <v>14</v>
      </c>
      <c r="B17" s="249" t="s">
        <v>2251</v>
      </c>
      <c r="C17" s="250" t="s">
        <v>2240</v>
      </c>
      <c r="D17" s="251" t="s">
        <v>15</v>
      </c>
      <c r="E17" s="252" t="s">
        <v>2252</v>
      </c>
      <c r="F17" s="251" t="s">
        <v>2253</v>
      </c>
      <c r="G17" s="253" t="s">
        <v>2254</v>
      </c>
      <c r="H17" s="254" t="s">
        <v>2180</v>
      </c>
      <c r="I17" s="255">
        <v>2</v>
      </c>
      <c r="J17" s="255">
        <v>1</v>
      </c>
      <c r="K17" s="255">
        <v>2</v>
      </c>
      <c r="L17" s="254">
        <v>3</v>
      </c>
      <c r="M17" s="254" t="s">
        <v>2249</v>
      </c>
      <c r="N17" s="256" t="s">
        <v>2183</v>
      </c>
      <c r="O17" s="257"/>
      <c r="P17" s="258" t="s">
        <v>2184</v>
      </c>
      <c r="Q17" s="258" t="s">
        <v>2184</v>
      </c>
      <c r="R17" s="259" t="s">
        <v>2255</v>
      </c>
      <c r="S17" s="260"/>
      <c r="T17" s="254" t="s">
        <v>2219</v>
      </c>
    </row>
    <row r="18" spans="1:20" ht="19.95" customHeight="1" x14ac:dyDescent="0.3">
      <c r="A18" s="248">
        <v>15</v>
      </c>
      <c r="B18" s="249" t="s">
        <v>2256</v>
      </c>
      <c r="C18" s="250" t="s">
        <v>2240</v>
      </c>
      <c r="D18" s="251" t="s">
        <v>15</v>
      </c>
      <c r="E18" s="261">
        <v>46083</v>
      </c>
      <c r="F18" s="251"/>
      <c r="G18" s="253"/>
      <c r="H18" s="254" t="s">
        <v>2180</v>
      </c>
      <c r="I18" s="255"/>
      <c r="J18" s="255"/>
      <c r="K18" s="255"/>
      <c r="L18" s="254"/>
      <c r="M18" s="254"/>
      <c r="N18" s="256" t="s">
        <v>2183</v>
      </c>
      <c r="O18" s="257"/>
      <c r="P18" s="258" t="s">
        <v>2184</v>
      </c>
      <c r="Q18" s="258" t="s">
        <v>2184</v>
      </c>
      <c r="R18" s="259"/>
      <c r="S18" s="260"/>
      <c r="T18" s="254"/>
    </row>
    <row r="19" spans="1:20" ht="60" customHeight="1" x14ac:dyDescent="0.3">
      <c r="A19" s="248">
        <v>16</v>
      </c>
      <c r="B19" s="249" t="s">
        <v>2257</v>
      </c>
      <c r="C19" s="250" t="s">
        <v>2258</v>
      </c>
      <c r="D19" s="251" t="s">
        <v>15</v>
      </c>
      <c r="E19" s="252" t="s">
        <v>2259</v>
      </c>
      <c r="F19" s="251" t="s">
        <v>2260</v>
      </c>
      <c r="G19" s="253" t="s">
        <v>2261</v>
      </c>
      <c r="H19" s="254"/>
      <c r="I19" s="255">
        <v>2</v>
      </c>
      <c r="J19" s="255">
        <v>1</v>
      </c>
      <c r="K19" s="255">
        <v>2</v>
      </c>
      <c r="L19" s="254" t="s">
        <v>2262</v>
      </c>
      <c r="M19" s="254"/>
      <c r="N19" s="256" t="s">
        <v>2183</v>
      </c>
      <c r="O19" s="257"/>
      <c r="P19" s="262"/>
      <c r="Q19" s="262"/>
      <c r="R19" s="259" t="s">
        <v>2263</v>
      </c>
      <c r="S19" s="260"/>
      <c r="T19" s="254"/>
    </row>
    <row r="20" spans="1:20" ht="60" customHeight="1" x14ac:dyDescent="0.3">
      <c r="A20" s="248">
        <v>17</v>
      </c>
      <c r="B20" s="249" t="s">
        <v>2264</v>
      </c>
      <c r="C20" s="250" t="s">
        <v>2240</v>
      </c>
      <c r="D20" s="263" t="s">
        <v>14</v>
      </c>
      <c r="E20" s="252" t="s">
        <v>2265</v>
      </c>
      <c r="F20" s="251" t="s">
        <v>2266</v>
      </c>
      <c r="G20" s="253" t="s">
        <v>2267</v>
      </c>
      <c r="H20" s="254" t="s">
        <v>2164</v>
      </c>
      <c r="I20" s="255">
        <v>3</v>
      </c>
      <c r="J20" s="255">
        <v>2</v>
      </c>
      <c r="K20" s="255">
        <v>3</v>
      </c>
      <c r="L20" s="254">
        <v>6</v>
      </c>
      <c r="M20" s="254" t="s">
        <v>2198</v>
      </c>
      <c r="N20" s="256" t="s">
        <v>2183</v>
      </c>
      <c r="O20" s="257"/>
      <c r="P20" s="258" t="s">
        <v>2184</v>
      </c>
      <c r="Q20" s="258" t="s">
        <v>2184</v>
      </c>
      <c r="R20" s="259" t="s">
        <v>2268</v>
      </c>
      <c r="S20" s="260" t="s">
        <v>14</v>
      </c>
      <c r="T20" s="254"/>
    </row>
    <row r="21" spans="1:20" ht="60" customHeight="1" x14ac:dyDescent="0.3">
      <c r="A21" s="248">
        <v>18</v>
      </c>
      <c r="B21" s="249" t="s">
        <v>2269</v>
      </c>
      <c r="C21" s="250" t="s">
        <v>2240</v>
      </c>
      <c r="D21" s="263" t="s">
        <v>14</v>
      </c>
      <c r="E21" s="252" t="s">
        <v>2259</v>
      </c>
      <c r="F21" s="251" t="s">
        <v>2270</v>
      </c>
      <c r="G21" s="253" t="s">
        <v>2271</v>
      </c>
      <c r="H21" s="254" t="s">
        <v>2164</v>
      </c>
      <c r="I21" s="255">
        <v>3</v>
      </c>
      <c r="J21" s="255">
        <v>1</v>
      </c>
      <c r="K21" s="255">
        <v>2</v>
      </c>
      <c r="L21" s="254">
        <v>14</v>
      </c>
      <c r="M21" s="254" t="s">
        <v>2198</v>
      </c>
      <c r="N21" s="256" t="s">
        <v>2183</v>
      </c>
      <c r="O21" s="257"/>
      <c r="P21" s="258" t="s">
        <v>2184</v>
      </c>
      <c r="Q21" s="262"/>
      <c r="R21" s="259" t="s">
        <v>2272</v>
      </c>
      <c r="S21" s="260" t="s">
        <v>14</v>
      </c>
      <c r="T21" s="254"/>
    </row>
    <row r="22" spans="1:20" ht="60" customHeight="1" x14ac:dyDescent="0.3">
      <c r="A22" s="248">
        <v>19</v>
      </c>
      <c r="B22" s="249" t="s">
        <v>2273</v>
      </c>
      <c r="C22" s="250" t="s">
        <v>2240</v>
      </c>
      <c r="D22" s="263" t="s">
        <v>14</v>
      </c>
      <c r="E22" s="252" t="s">
        <v>2265</v>
      </c>
      <c r="F22" s="251">
        <v>18000</v>
      </c>
      <c r="G22" s="253" t="s">
        <v>2274</v>
      </c>
      <c r="H22" s="254" t="s">
        <v>2180</v>
      </c>
      <c r="I22" s="255">
        <v>2</v>
      </c>
      <c r="J22" s="255">
        <v>1</v>
      </c>
      <c r="K22" s="255">
        <v>3</v>
      </c>
      <c r="L22" s="254">
        <v>2</v>
      </c>
      <c r="M22" s="254" t="s">
        <v>2198</v>
      </c>
      <c r="N22" s="256" t="s">
        <v>2183</v>
      </c>
      <c r="O22" s="257"/>
      <c r="P22" s="258" t="s">
        <v>2275</v>
      </c>
      <c r="Q22" s="258" t="s">
        <v>2184</v>
      </c>
      <c r="R22" s="259" t="s">
        <v>2276</v>
      </c>
      <c r="S22" s="260" t="s">
        <v>14</v>
      </c>
      <c r="T22" s="254"/>
    </row>
    <row r="23" spans="1:20" ht="60" customHeight="1" x14ac:dyDescent="0.3">
      <c r="A23" s="264">
        <v>20</v>
      </c>
      <c r="B23" s="265" t="s">
        <v>1527</v>
      </c>
      <c r="C23" s="266" t="s">
        <v>2277</v>
      </c>
      <c r="D23" s="267" t="s">
        <v>14</v>
      </c>
      <c r="E23" s="268" t="s">
        <v>2206</v>
      </c>
      <c r="F23" s="269" t="s">
        <v>2278</v>
      </c>
      <c r="G23" s="270" t="s">
        <v>2279</v>
      </c>
      <c r="H23" s="271" t="s">
        <v>2164</v>
      </c>
      <c r="I23" s="272">
        <v>3</v>
      </c>
      <c r="J23" s="272">
        <v>2</v>
      </c>
      <c r="K23" s="272">
        <v>3</v>
      </c>
      <c r="L23" s="271" t="s">
        <v>2280</v>
      </c>
      <c r="M23" s="271" t="s">
        <v>2198</v>
      </c>
      <c r="N23" s="273" t="s">
        <v>2183</v>
      </c>
      <c r="O23" s="274"/>
      <c r="P23" s="275" t="s">
        <v>2184</v>
      </c>
      <c r="Q23" s="276"/>
      <c r="R23" s="277" t="s">
        <v>2281</v>
      </c>
      <c r="S23" s="278"/>
      <c r="T23" s="271"/>
    </row>
    <row r="24" spans="1:20" ht="60" customHeight="1" x14ac:dyDescent="0.3">
      <c r="A24" s="248">
        <v>21</v>
      </c>
      <c r="B24" s="249" t="s">
        <v>2282</v>
      </c>
      <c r="C24" s="250" t="s">
        <v>2240</v>
      </c>
      <c r="D24" s="263" t="s">
        <v>14</v>
      </c>
      <c r="E24" s="252" t="s">
        <v>2283</v>
      </c>
      <c r="F24" s="251" t="s">
        <v>2284</v>
      </c>
      <c r="G24" s="253" t="s">
        <v>2285</v>
      </c>
      <c r="H24" s="254" t="s">
        <v>2164</v>
      </c>
      <c r="I24" s="255">
        <v>2</v>
      </c>
      <c r="J24" s="255">
        <v>1</v>
      </c>
      <c r="K24" s="255">
        <v>2</v>
      </c>
      <c r="L24" s="254" t="s">
        <v>2286</v>
      </c>
      <c r="M24" s="254" t="s">
        <v>2198</v>
      </c>
      <c r="N24" s="256" t="s">
        <v>2183</v>
      </c>
      <c r="O24" s="257"/>
      <c r="P24" s="258" t="s">
        <v>2184</v>
      </c>
      <c r="Q24" s="262"/>
      <c r="R24" s="259" t="s">
        <v>2287</v>
      </c>
      <c r="S24" s="260" t="s">
        <v>14</v>
      </c>
      <c r="T24" s="254"/>
    </row>
    <row r="25" spans="1:20" ht="60" customHeight="1" x14ac:dyDescent="0.3">
      <c r="A25" s="248">
        <v>22</v>
      </c>
      <c r="B25" s="249" t="s">
        <v>2288</v>
      </c>
      <c r="C25" s="250" t="s">
        <v>2240</v>
      </c>
      <c r="D25" s="263" t="s">
        <v>14</v>
      </c>
      <c r="E25" s="252" t="s">
        <v>2289</v>
      </c>
      <c r="F25" s="251" t="s">
        <v>2290</v>
      </c>
      <c r="G25" s="253" t="s">
        <v>2291</v>
      </c>
      <c r="H25" s="254" t="s">
        <v>2180</v>
      </c>
      <c r="I25" s="255">
        <v>2</v>
      </c>
      <c r="J25" s="255">
        <v>1</v>
      </c>
      <c r="K25" s="255">
        <v>1</v>
      </c>
      <c r="L25" s="254" t="s">
        <v>2286</v>
      </c>
      <c r="M25" s="254" t="s">
        <v>2198</v>
      </c>
      <c r="N25" s="256" t="s">
        <v>2183</v>
      </c>
      <c r="O25" s="257"/>
      <c r="P25" s="258" t="s">
        <v>2184</v>
      </c>
      <c r="Q25" s="262"/>
      <c r="R25" s="259" t="s">
        <v>2292</v>
      </c>
      <c r="S25" s="260" t="s">
        <v>14</v>
      </c>
      <c r="T25" s="254"/>
    </row>
    <row r="26" spans="1:20" ht="60" customHeight="1" x14ac:dyDescent="0.3">
      <c r="A26" s="248">
        <v>23</v>
      </c>
      <c r="B26" s="249" t="s">
        <v>2293</v>
      </c>
      <c r="C26" s="250" t="s">
        <v>2240</v>
      </c>
      <c r="D26" s="263" t="s">
        <v>14</v>
      </c>
      <c r="E26" s="252" t="s">
        <v>2294</v>
      </c>
      <c r="F26" s="251" t="s">
        <v>2295</v>
      </c>
      <c r="G26" s="253" t="s">
        <v>2296</v>
      </c>
      <c r="H26" s="254" t="s">
        <v>2164</v>
      </c>
      <c r="I26" s="255">
        <v>1</v>
      </c>
      <c r="J26" s="255">
        <v>1</v>
      </c>
      <c r="K26" s="255">
        <v>1</v>
      </c>
      <c r="L26" s="254" t="s">
        <v>2297</v>
      </c>
      <c r="M26" s="254" t="s">
        <v>2198</v>
      </c>
      <c r="N26" s="256" t="s">
        <v>2183</v>
      </c>
      <c r="O26" s="257"/>
      <c r="P26" s="258" t="s">
        <v>2184</v>
      </c>
      <c r="Q26" s="262"/>
      <c r="R26" s="259" t="s">
        <v>2298</v>
      </c>
      <c r="S26" s="260" t="s">
        <v>14</v>
      </c>
      <c r="T26" s="254"/>
    </row>
    <row r="27" spans="1:20" ht="60" customHeight="1" x14ac:dyDescent="0.3">
      <c r="A27" s="264">
        <v>24</v>
      </c>
      <c r="B27" s="265" t="s">
        <v>2299</v>
      </c>
      <c r="C27" s="266" t="s">
        <v>2300</v>
      </c>
      <c r="D27" s="269" t="s">
        <v>15</v>
      </c>
      <c r="E27" s="268" t="s">
        <v>2301</v>
      </c>
      <c r="F27" s="269" t="s">
        <v>2302</v>
      </c>
      <c r="G27" s="270" t="s">
        <v>2303</v>
      </c>
      <c r="H27" s="271" t="s">
        <v>2180</v>
      </c>
      <c r="I27" s="272">
        <v>4</v>
      </c>
      <c r="J27" s="272">
        <v>3</v>
      </c>
      <c r="K27" s="272">
        <v>3</v>
      </c>
      <c r="L27" s="271" t="s">
        <v>2304</v>
      </c>
      <c r="M27" s="271" t="s">
        <v>2191</v>
      </c>
      <c r="N27" s="273" t="s">
        <v>2183</v>
      </c>
      <c r="O27" s="274"/>
      <c r="P27" s="276"/>
      <c r="Q27" s="275" t="s">
        <v>2184</v>
      </c>
      <c r="R27" s="277" t="s">
        <v>2305</v>
      </c>
      <c r="S27" s="278"/>
      <c r="T27" s="271"/>
    </row>
    <row r="28" spans="1:20" ht="60" customHeight="1" x14ac:dyDescent="0.3">
      <c r="A28" s="279">
        <v>25</v>
      </c>
      <c r="B28" s="280" t="s">
        <v>2306</v>
      </c>
      <c r="C28" s="281" t="s">
        <v>2307</v>
      </c>
      <c r="D28" s="282" t="s">
        <v>15</v>
      </c>
      <c r="E28" s="283" t="s">
        <v>2200</v>
      </c>
      <c r="F28" s="282" t="s">
        <v>2308</v>
      </c>
      <c r="G28" s="284" t="s">
        <v>2309</v>
      </c>
      <c r="H28" s="285" t="s">
        <v>2180</v>
      </c>
      <c r="I28" s="286">
        <v>4</v>
      </c>
      <c r="J28" s="286">
        <v>3</v>
      </c>
      <c r="K28" s="286">
        <v>5</v>
      </c>
      <c r="L28" s="285" t="s">
        <v>2310</v>
      </c>
      <c r="M28" s="285" t="s">
        <v>2198</v>
      </c>
      <c r="N28" s="287" t="s">
        <v>2183</v>
      </c>
      <c r="O28" s="288"/>
      <c r="P28" s="289" t="s">
        <v>2184</v>
      </c>
      <c r="Q28" s="289" t="s">
        <v>2184</v>
      </c>
      <c r="R28" s="290" t="s">
        <v>2311</v>
      </c>
      <c r="S28" s="291" t="s">
        <v>2312</v>
      </c>
      <c r="T28" s="285"/>
    </row>
    <row r="29" spans="1:20" ht="60" customHeight="1" x14ac:dyDescent="0.3">
      <c r="A29" s="292">
        <v>26</v>
      </c>
      <c r="B29" s="293" t="s">
        <v>2313</v>
      </c>
      <c r="C29" s="294" t="s">
        <v>103</v>
      </c>
      <c r="D29" s="295" t="s">
        <v>15</v>
      </c>
      <c r="E29" s="296" t="s">
        <v>2314</v>
      </c>
      <c r="F29" s="295" t="s">
        <v>2315</v>
      </c>
      <c r="G29" s="297" t="s">
        <v>2316</v>
      </c>
      <c r="H29" s="298" t="s">
        <v>2164</v>
      </c>
      <c r="I29" s="299">
        <v>1</v>
      </c>
      <c r="J29" s="299">
        <v>1</v>
      </c>
      <c r="K29" s="299">
        <v>1</v>
      </c>
      <c r="L29" s="298">
        <v>3</v>
      </c>
      <c r="M29" s="298" t="s">
        <v>2249</v>
      </c>
      <c r="N29" s="300" t="s">
        <v>2183</v>
      </c>
      <c r="O29" s="301"/>
      <c r="P29" s="302"/>
      <c r="Q29" s="303" t="s">
        <v>2184</v>
      </c>
      <c r="R29" s="304" t="s">
        <v>2317</v>
      </c>
      <c r="S29" s="305"/>
      <c r="T29" s="298"/>
    </row>
    <row r="30" spans="1:20" ht="60" customHeight="1" x14ac:dyDescent="0.3">
      <c r="A30" s="292">
        <v>27</v>
      </c>
      <c r="B30" s="293" t="s">
        <v>2318</v>
      </c>
      <c r="C30" s="294" t="s">
        <v>103</v>
      </c>
      <c r="D30" s="295" t="s">
        <v>15</v>
      </c>
      <c r="E30" s="306">
        <v>46083</v>
      </c>
      <c r="F30" s="295" t="s">
        <v>2319</v>
      </c>
      <c r="G30" s="297" t="s">
        <v>2320</v>
      </c>
      <c r="H30" s="298" t="s">
        <v>2321</v>
      </c>
      <c r="I30" s="299">
        <v>1</v>
      </c>
      <c r="J30" s="299">
        <v>1</v>
      </c>
      <c r="K30" s="299">
        <v>1</v>
      </c>
      <c r="L30" s="298">
        <v>4</v>
      </c>
      <c r="M30" s="298"/>
      <c r="N30" s="300" t="s">
        <v>2183</v>
      </c>
      <c r="O30" s="301"/>
      <c r="P30" s="303" t="s">
        <v>2184</v>
      </c>
      <c r="Q30" s="302"/>
      <c r="R30" s="304" t="s">
        <v>2322</v>
      </c>
      <c r="S30" s="305"/>
      <c r="T30" s="298"/>
    </row>
    <row r="31" spans="1:20" ht="60" customHeight="1" x14ac:dyDescent="0.3">
      <c r="A31" s="292">
        <v>28</v>
      </c>
      <c r="B31" s="293" t="s">
        <v>249</v>
      </c>
      <c r="C31" s="294" t="s">
        <v>103</v>
      </c>
      <c r="D31" s="307" t="s">
        <v>14</v>
      </c>
      <c r="E31" s="296" t="s">
        <v>2265</v>
      </c>
      <c r="F31" s="295" t="s">
        <v>2323</v>
      </c>
      <c r="G31" s="297" t="s">
        <v>2324</v>
      </c>
      <c r="H31" s="298" t="s">
        <v>2164</v>
      </c>
      <c r="I31" s="299">
        <v>1</v>
      </c>
      <c r="J31" s="299">
        <v>1</v>
      </c>
      <c r="K31" s="299">
        <v>1</v>
      </c>
      <c r="L31" s="298">
        <v>10</v>
      </c>
      <c r="M31" s="298" t="s">
        <v>2198</v>
      </c>
      <c r="N31" s="300" t="s">
        <v>2183</v>
      </c>
      <c r="O31" s="301"/>
      <c r="P31" s="303" t="s">
        <v>2184</v>
      </c>
      <c r="Q31" s="303" t="s">
        <v>2184</v>
      </c>
      <c r="R31" s="304" t="s">
        <v>2325</v>
      </c>
      <c r="S31" s="305" t="s">
        <v>14</v>
      </c>
      <c r="T31" s="298"/>
    </row>
    <row r="32" spans="1:20" ht="60" customHeight="1" x14ac:dyDescent="0.3">
      <c r="A32" s="292">
        <v>29</v>
      </c>
      <c r="B32" s="293" t="s">
        <v>2326</v>
      </c>
      <c r="C32" s="294" t="s">
        <v>103</v>
      </c>
      <c r="D32" s="307" t="s">
        <v>14</v>
      </c>
      <c r="E32" s="296" t="s">
        <v>2327</v>
      </c>
      <c r="F32" s="295" t="s">
        <v>2328</v>
      </c>
      <c r="G32" s="297" t="s">
        <v>2329</v>
      </c>
      <c r="H32" s="298" t="s">
        <v>2164</v>
      </c>
      <c r="I32" s="299">
        <v>1</v>
      </c>
      <c r="J32" s="299">
        <v>1</v>
      </c>
      <c r="K32" s="299">
        <v>1</v>
      </c>
      <c r="L32" s="298" t="s">
        <v>2330</v>
      </c>
      <c r="M32" s="298" t="s">
        <v>2198</v>
      </c>
      <c r="N32" s="300" t="s">
        <v>2183</v>
      </c>
      <c r="O32" s="301"/>
      <c r="P32" s="303" t="s">
        <v>2184</v>
      </c>
      <c r="Q32" s="302"/>
      <c r="R32" s="304" t="s">
        <v>2331</v>
      </c>
      <c r="S32" s="305" t="s">
        <v>14</v>
      </c>
      <c r="T32" s="298"/>
    </row>
    <row r="33" spans="1:20" ht="60" customHeight="1" x14ac:dyDescent="0.3">
      <c r="A33" s="292">
        <v>30</v>
      </c>
      <c r="B33" s="293" t="s">
        <v>2332</v>
      </c>
      <c r="C33" s="294" t="s">
        <v>103</v>
      </c>
      <c r="D33" s="307" t="s">
        <v>14</v>
      </c>
      <c r="E33" s="296" t="s">
        <v>2232</v>
      </c>
      <c r="F33" s="295" t="s">
        <v>2333</v>
      </c>
      <c r="G33" s="297" t="s">
        <v>2334</v>
      </c>
      <c r="H33" s="298" t="s">
        <v>2164</v>
      </c>
      <c r="I33" s="299">
        <v>1</v>
      </c>
      <c r="J33" s="299">
        <v>1</v>
      </c>
      <c r="K33" s="299">
        <v>1</v>
      </c>
      <c r="L33" s="298" t="s">
        <v>2330</v>
      </c>
      <c r="M33" s="298" t="s">
        <v>2198</v>
      </c>
      <c r="N33" s="300" t="s">
        <v>2183</v>
      </c>
      <c r="O33" s="301"/>
      <c r="P33" s="303" t="s">
        <v>2184</v>
      </c>
      <c r="Q33" s="302"/>
      <c r="R33" s="304" t="s">
        <v>2335</v>
      </c>
      <c r="S33" s="305" t="s">
        <v>14</v>
      </c>
      <c r="T33" s="298"/>
    </row>
    <row r="34" spans="1:20" ht="60" customHeight="1" x14ac:dyDescent="0.3">
      <c r="A34" s="292">
        <v>31</v>
      </c>
      <c r="B34" s="293" t="s">
        <v>701</v>
      </c>
      <c r="C34" s="294" t="s">
        <v>103</v>
      </c>
      <c r="D34" s="307" t="s">
        <v>14</v>
      </c>
      <c r="E34" s="296" t="s">
        <v>2259</v>
      </c>
      <c r="F34" s="295" t="s">
        <v>2336</v>
      </c>
      <c r="G34" s="297" t="s">
        <v>2337</v>
      </c>
      <c r="H34" s="298" t="s">
        <v>2164</v>
      </c>
      <c r="I34" s="299">
        <v>1</v>
      </c>
      <c r="J34" s="299">
        <v>1</v>
      </c>
      <c r="K34" s="299">
        <v>1</v>
      </c>
      <c r="L34" s="298" t="s">
        <v>2338</v>
      </c>
      <c r="M34" s="298" t="s">
        <v>2198</v>
      </c>
      <c r="N34" s="300" t="s">
        <v>2183</v>
      </c>
      <c r="O34" s="301"/>
      <c r="P34" s="303" t="s">
        <v>2184</v>
      </c>
      <c r="Q34" s="303" t="s">
        <v>2184</v>
      </c>
      <c r="R34" s="304" t="s">
        <v>2339</v>
      </c>
      <c r="S34" s="305" t="s">
        <v>14</v>
      </c>
      <c r="T34" s="298"/>
    </row>
    <row r="35" spans="1:20" ht="60" customHeight="1" x14ac:dyDescent="0.3">
      <c r="A35" s="248">
        <v>32</v>
      </c>
      <c r="B35" s="249" t="s">
        <v>2340</v>
      </c>
      <c r="C35" s="250" t="s">
        <v>2240</v>
      </c>
      <c r="D35" s="263" t="s">
        <v>14</v>
      </c>
      <c r="E35" s="252" t="s">
        <v>2294</v>
      </c>
      <c r="F35" s="251" t="s">
        <v>2295</v>
      </c>
      <c r="G35" s="253" t="s">
        <v>2296</v>
      </c>
      <c r="H35" s="254" t="s">
        <v>2164</v>
      </c>
      <c r="I35" s="255">
        <v>1</v>
      </c>
      <c r="J35" s="255">
        <v>1</v>
      </c>
      <c r="K35" s="255">
        <v>1</v>
      </c>
      <c r="L35" s="254" t="s">
        <v>2297</v>
      </c>
      <c r="M35" s="254" t="s">
        <v>2198</v>
      </c>
      <c r="N35" s="256" t="s">
        <v>2183</v>
      </c>
      <c r="O35" s="257"/>
      <c r="P35" s="258" t="s">
        <v>2184</v>
      </c>
      <c r="Q35" s="262"/>
      <c r="R35" s="259" t="s">
        <v>2298</v>
      </c>
      <c r="S35" s="260" t="s">
        <v>14</v>
      </c>
      <c r="T35" s="254"/>
    </row>
    <row r="36" spans="1:20" ht="60" customHeight="1" x14ac:dyDescent="0.3">
      <c r="A36" s="308">
        <v>33</v>
      </c>
      <c r="B36" s="309" t="s">
        <v>2341</v>
      </c>
      <c r="C36" s="310" t="s">
        <v>90</v>
      </c>
      <c r="D36" s="311" t="s">
        <v>15</v>
      </c>
      <c r="E36" s="312" t="s">
        <v>2342</v>
      </c>
      <c r="F36" s="311" t="s">
        <v>2343</v>
      </c>
      <c r="G36" s="313" t="s">
        <v>2344</v>
      </c>
      <c r="H36" s="314" t="s">
        <v>2180</v>
      </c>
      <c r="I36" s="315"/>
      <c r="J36" s="315"/>
      <c r="K36" s="315"/>
      <c r="L36" s="314"/>
      <c r="M36" s="314" t="s">
        <v>2198</v>
      </c>
      <c r="N36" s="316" t="s">
        <v>2183</v>
      </c>
      <c r="O36" s="317"/>
      <c r="P36" s="318" t="s">
        <v>2184</v>
      </c>
      <c r="Q36" s="319"/>
      <c r="R36" s="320" t="s">
        <v>2345</v>
      </c>
      <c r="S36" s="321" t="s">
        <v>15</v>
      </c>
      <c r="T36" s="314"/>
    </row>
    <row r="37" spans="1:20" ht="60" customHeight="1" x14ac:dyDescent="0.3">
      <c r="A37" s="308">
        <v>34</v>
      </c>
      <c r="B37" s="309" t="s">
        <v>2346</v>
      </c>
      <c r="C37" s="310" t="s">
        <v>90</v>
      </c>
      <c r="D37" s="322" t="s">
        <v>14</v>
      </c>
      <c r="E37" s="312" t="s">
        <v>2347</v>
      </c>
      <c r="F37" s="311" t="s">
        <v>2348</v>
      </c>
      <c r="G37" s="313" t="s">
        <v>2349</v>
      </c>
      <c r="H37" s="314" t="s">
        <v>2180</v>
      </c>
      <c r="I37" s="315"/>
      <c r="J37" s="315"/>
      <c r="K37" s="315"/>
      <c r="L37" s="314"/>
      <c r="M37" s="314" t="s">
        <v>2198</v>
      </c>
      <c r="N37" s="316" t="s">
        <v>2183</v>
      </c>
      <c r="O37" s="317"/>
      <c r="P37" s="318" t="s">
        <v>2184</v>
      </c>
      <c r="Q37" s="319"/>
      <c r="R37" s="320" t="s">
        <v>2350</v>
      </c>
      <c r="S37" s="321" t="s">
        <v>14</v>
      </c>
      <c r="T37" s="314"/>
    </row>
    <row r="38" spans="1:20" ht="60" customHeight="1" x14ac:dyDescent="0.3">
      <c r="A38" s="308">
        <v>35</v>
      </c>
      <c r="B38" s="309" t="s">
        <v>2351</v>
      </c>
      <c r="C38" s="310" t="s">
        <v>90</v>
      </c>
      <c r="D38" s="322" t="s">
        <v>14</v>
      </c>
      <c r="E38" s="312" t="s">
        <v>2259</v>
      </c>
      <c r="F38" s="311" t="s">
        <v>2352</v>
      </c>
      <c r="G38" s="313" t="s">
        <v>2353</v>
      </c>
      <c r="H38" s="314" t="s">
        <v>2180</v>
      </c>
      <c r="I38" s="315"/>
      <c r="J38" s="315"/>
      <c r="K38" s="315"/>
      <c r="L38" s="314">
        <v>4</v>
      </c>
      <c r="M38" s="314" t="s">
        <v>2198</v>
      </c>
      <c r="N38" s="316" t="s">
        <v>2183</v>
      </c>
      <c r="O38" s="317"/>
      <c r="P38" s="318" t="s">
        <v>2184</v>
      </c>
      <c r="Q38" s="319"/>
      <c r="R38" s="320" t="s">
        <v>2354</v>
      </c>
      <c r="S38" s="321" t="s">
        <v>14</v>
      </c>
      <c r="T38" s="314"/>
    </row>
    <row r="39" spans="1:20" ht="60" customHeight="1" x14ac:dyDescent="0.3">
      <c r="A39" s="308">
        <v>36</v>
      </c>
      <c r="B39" s="309" t="s">
        <v>2355</v>
      </c>
      <c r="C39" s="310" t="s">
        <v>90</v>
      </c>
      <c r="D39" s="322" t="s">
        <v>14</v>
      </c>
      <c r="E39" s="312" t="s">
        <v>2356</v>
      </c>
      <c r="F39" s="311" t="s">
        <v>2357</v>
      </c>
      <c r="G39" s="313" t="s">
        <v>2358</v>
      </c>
      <c r="H39" s="314" t="s">
        <v>2180</v>
      </c>
      <c r="I39" s="315" t="s">
        <v>117</v>
      </c>
      <c r="J39" s="315" t="s">
        <v>117</v>
      </c>
      <c r="K39" s="315" t="s">
        <v>117</v>
      </c>
      <c r="L39" s="314" t="s">
        <v>2359</v>
      </c>
      <c r="M39" s="314" t="s">
        <v>2198</v>
      </c>
      <c r="N39" s="316" t="s">
        <v>2183</v>
      </c>
      <c r="O39" s="317"/>
      <c r="P39" s="318" t="s">
        <v>2184</v>
      </c>
      <c r="Q39" s="319"/>
      <c r="R39" s="320" t="s">
        <v>2360</v>
      </c>
      <c r="S39" s="321" t="s">
        <v>14</v>
      </c>
      <c r="T39" s="314"/>
    </row>
    <row r="40" spans="1:20" ht="60" customHeight="1" x14ac:dyDescent="0.3">
      <c r="A40" s="308">
        <v>37</v>
      </c>
      <c r="B40" s="309" t="s">
        <v>2361</v>
      </c>
      <c r="C40" s="310" t="s">
        <v>90</v>
      </c>
      <c r="D40" s="322" t="s">
        <v>14</v>
      </c>
      <c r="E40" s="312" t="s">
        <v>2362</v>
      </c>
      <c r="F40" s="311" t="s">
        <v>2363</v>
      </c>
      <c r="G40" s="313" t="s">
        <v>2364</v>
      </c>
      <c r="H40" s="314" t="s">
        <v>2180</v>
      </c>
      <c r="I40" s="315"/>
      <c r="J40" s="315"/>
      <c r="K40" s="315"/>
      <c r="L40" s="314">
        <v>1</v>
      </c>
      <c r="M40" s="314" t="s">
        <v>2198</v>
      </c>
      <c r="N40" s="316" t="s">
        <v>2183</v>
      </c>
      <c r="O40" s="317"/>
      <c r="P40" s="318" t="s">
        <v>2184</v>
      </c>
      <c r="Q40" s="319"/>
      <c r="R40" s="320" t="s">
        <v>2365</v>
      </c>
      <c r="S40" s="321" t="s">
        <v>14</v>
      </c>
      <c r="T40" s="314"/>
    </row>
    <row r="41" spans="1:20" ht="60" customHeight="1" x14ac:dyDescent="0.3">
      <c r="A41" s="308">
        <v>38</v>
      </c>
      <c r="B41" s="309" t="s">
        <v>2366</v>
      </c>
      <c r="C41" s="310" t="s">
        <v>90</v>
      </c>
      <c r="D41" s="322" t="s">
        <v>14</v>
      </c>
      <c r="E41" s="312" t="s">
        <v>2367</v>
      </c>
      <c r="F41" s="311" t="s">
        <v>2368</v>
      </c>
      <c r="G41" s="313" t="s">
        <v>2369</v>
      </c>
      <c r="H41" s="314" t="s">
        <v>2180</v>
      </c>
      <c r="I41" s="315"/>
      <c r="J41" s="315"/>
      <c r="K41" s="315"/>
      <c r="L41" s="314">
        <v>2</v>
      </c>
      <c r="M41" s="314" t="s">
        <v>2198</v>
      </c>
      <c r="N41" s="316" t="s">
        <v>2183</v>
      </c>
      <c r="O41" s="317"/>
      <c r="P41" s="318" t="s">
        <v>2184</v>
      </c>
      <c r="Q41" s="318" t="s">
        <v>2184</v>
      </c>
      <c r="R41" s="320" t="s">
        <v>2370</v>
      </c>
      <c r="S41" s="321" t="s">
        <v>14</v>
      </c>
      <c r="T41" s="314"/>
    </row>
    <row r="42" spans="1:20" ht="19.95" customHeight="1" x14ac:dyDescent="0.3">
      <c r="A42" s="308">
        <v>39</v>
      </c>
      <c r="B42" s="309" t="s">
        <v>2371</v>
      </c>
      <c r="C42" s="310" t="s">
        <v>90</v>
      </c>
      <c r="D42" s="322" t="s">
        <v>14</v>
      </c>
      <c r="E42" s="312" t="s">
        <v>2372</v>
      </c>
      <c r="F42" s="311"/>
      <c r="G42" s="313"/>
      <c r="H42" s="314" t="s">
        <v>2180</v>
      </c>
      <c r="I42" s="315"/>
      <c r="J42" s="315"/>
      <c r="K42" s="315"/>
      <c r="L42" s="314"/>
      <c r="M42" s="314"/>
      <c r="N42" s="316" t="s">
        <v>2183</v>
      </c>
      <c r="O42" s="317"/>
      <c r="P42" s="318" t="s">
        <v>2184</v>
      </c>
      <c r="Q42" s="319"/>
      <c r="R42" s="320"/>
      <c r="S42" s="321"/>
      <c r="T42" s="314"/>
    </row>
    <row r="43" spans="1:20" ht="60" customHeight="1" x14ac:dyDescent="0.3">
      <c r="A43" s="323">
        <v>40</v>
      </c>
      <c r="B43" s="324" t="s">
        <v>2373</v>
      </c>
      <c r="C43" s="325" t="s">
        <v>2374</v>
      </c>
      <c r="D43" s="326" t="s">
        <v>15</v>
      </c>
      <c r="E43" s="327" t="s">
        <v>2375</v>
      </c>
      <c r="F43" s="326" t="s">
        <v>2376</v>
      </c>
      <c r="G43" s="328" t="s">
        <v>2377</v>
      </c>
      <c r="H43" s="329" t="s">
        <v>2180</v>
      </c>
      <c r="I43" s="330" t="s">
        <v>117</v>
      </c>
      <c r="J43" s="330" t="s">
        <v>117</v>
      </c>
      <c r="K43" s="330" t="s">
        <v>117</v>
      </c>
      <c r="L43" s="329" t="s">
        <v>117</v>
      </c>
      <c r="M43" s="329" t="s">
        <v>2198</v>
      </c>
      <c r="N43" s="331" t="s">
        <v>2183</v>
      </c>
      <c r="O43" s="332"/>
      <c r="P43" s="333"/>
      <c r="Q43" s="333"/>
      <c r="R43" s="334" t="s">
        <v>2378</v>
      </c>
      <c r="S43" s="335" t="s">
        <v>15</v>
      </c>
      <c r="T43" s="329"/>
    </row>
    <row r="44" spans="1:20" ht="60" customHeight="1" x14ac:dyDescent="0.3">
      <c r="A44" s="279">
        <v>41</v>
      </c>
      <c r="B44" s="280" t="s">
        <v>2379</v>
      </c>
      <c r="C44" s="281" t="s">
        <v>2380</v>
      </c>
      <c r="D44" s="282" t="s">
        <v>15</v>
      </c>
      <c r="E44" s="283" t="s">
        <v>2381</v>
      </c>
      <c r="F44" s="282" t="s">
        <v>2382</v>
      </c>
      <c r="G44" s="284" t="s">
        <v>2383</v>
      </c>
      <c r="H44" s="285" t="s">
        <v>2180</v>
      </c>
      <c r="I44" s="286" t="s">
        <v>2384</v>
      </c>
      <c r="J44" s="286" t="s">
        <v>117</v>
      </c>
      <c r="K44" s="286" t="s">
        <v>117</v>
      </c>
      <c r="L44" s="285" t="s">
        <v>2385</v>
      </c>
      <c r="M44" s="285" t="s">
        <v>2198</v>
      </c>
      <c r="N44" s="287" t="s">
        <v>2183</v>
      </c>
      <c r="O44" s="288"/>
      <c r="P44" s="289" t="s">
        <v>2184</v>
      </c>
      <c r="Q44" s="336"/>
      <c r="R44" s="290" t="s">
        <v>2386</v>
      </c>
      <c r="S44" s="291" t="s">
        <v>15</v>
      </c>
      <c r="T44" s="285"/>
    </row>
    <row r="45" spans="1:20" ht="60" customHeight="1" x14ac:dyDescent="0.3">
      <c r="A45" s="323">
        <v>42</v>
      </c>
      <c r="B45" s="324" t="s">
        <v>2387</v>
      </c>
      <c r="C45" s="325" t="s">
        <v>910</v>
      </c>
      <c r="D45" s="326" t="s">
        <v>15</v>
      </c>
      <c r="E45" s="327" t="s">
        <v>790</v>
      </c>
      <c r="F45" s="326" t="s">
        <v>2388</v>
      </c>
      <c r="G45" s="328" t="s">
        <v>2389</v>
      </c>
      <c r="H45" s="329" t="s">
        <v>2180</v>
      </c>
      <c r="I45" s="330" t="s">
        <v>117</v>
      </c>
      <c r="J45" s="330" t="s">
        <v>117</v>
      </c>
      <c r="K45" s="330" t="s">
        <v>117</v>
      </c>
      <c r="L45" s="329" t="s">
        <v>117</v>
      </c>
      <c r="M45" s="329" t="s">
        <v>2198</v>
      </c>
      <c r="N45" s="331" t="s">
        <v>2183</v>
      </c>
      <c r="O45" s="332"/>
      <c r="P45" s="333"/>
      <c r="Q45" s="333"/>
      <c r="R45" s="334" t="s">
        <v>2390</v>
      </c>
      <c r="S45" s="335" t="s">
        <v>15</v>
      </c>
      <c r="T45" s="329"/>
    </row>
    <row r="46" spans="1:20" ht="60" customHeight="1" x14ac:dyDescent="0.3">
      <c r="A46" s="323">
        <v>43</v>
      </c>
      <c r="B46" s="324" t="s">
        <v>2391</v>
      </c>
      <c r="C46" s="325" t="s">
        <v>2392</v>
      </c>
      <c r="D46" s="326" t="s">
        <v>15</v>
      </c>
      <c r="E46" s="327" t="s">
        <v>2393</v>
      </c>
      <c r="F46" s="326" t="s">
        <v>2394</v>
      </c>
      <c r="G46" s="328" t="s">
        <v>2395</v>
      </c>
      <c r="H46" s="329" t="s">
        <v>2180</v>
      </c>
      <c r="I46" s="330" t="s">
        <v>117</v>
      </c>
      <c r="J46" s="330" t="s">
        <v>117</v>
      </c>
      <c r="K46" s="330" t="s">
        <v>117</v>
      </c>
      <c r="L46" s="329" t="s">
        <v>117</v>
      </c>
      <c r="M46" s="329" t="s">
        <v>2198</v>
      </c>
      <c r="N46" s="331" t="s">
        <v>2183</v>
      </c>
      <c r="O46" s="332"/>
      <c r="P46" s="333"/>
      <c r="Q46" s="333"/>
      <c r="R46" s="334" t="s">
        <v>2396</v>
      </c>
      <c r="S46" s="335" t="s">
        <v>15</v>
      </c>
      <c r="T46" s="329"/>
    </row>
    <row r="47" spans="1:20" ht="60" customHeight="1" x14ac:dyDescent="0.3">
      <c r="A47" s="323">
        <v>44</v>
      </c>
      <c r="B47" s="324" t="s">
        <v>2397</v>
      </c>
      <c r="C47" s="325" t="s">
        <v>910</v>
      </c>
      <c r="D47" s="326" t="s">
        <v>15</v>
      </c>
      <c r="E47" s="327" t="s">
        <v>2398</v>
      </c>
      <c r="F47" s="326" t="s">
        <v>2399</v>
      </c>
      <c r="G47" s="328" t="s">
        <v>2400</v>
      </c>
      <c r="H47" s="329" t="s">
        <v>2180</v>
      </c>
      <c r="I47" s="330" t="s">
        <v>117</v>
      </c>
      <c r="J47" s="330" t="s">
        <v>117</v>
      </c>
      <c r="K47" s="330" t="s">
        <v>117</v>
      </c>
      <c r="L47" s="329" t="s">
        <v>2385</v>
      </c>
      <c r="M47" s="329" t="s">
        <v>2198</v>
      </c>
      <c r="N47" s="331" t="s">
        <v>2183</v>
      </c>
      <c r="O47" s="332"/>
      <c r="P47" s="333"/>
      <c r="Q47" s="333"/>
      <c r="R47" s="334" t="s">
        <v>2401</v>
      </c>
      <c r="S47" s="335" t="s">
        <v>15</v>
      </c>
      <c r="T47" s="329"/>
    </row>
    <row r="48" spans="1:20" ht="60" customHeight="1" x14ac:dyDescent="0.3">
      <c r="A48" s="279">
        <v>45</v>
      </c>
      <c r="B48" s="280" t="s">
        <v>2402</v>
      </c>
      <c r="C48" s="281" t="s">
        <v>2403</v>
      </c>
      <c r="D48" s="282" t="s">
        <v>15</v>
      </c>
      <c r="E48" s="283" t="s">
        <v>2404</v>
      </c>
      <c r="F48" s="282" t="s">
        <v>2405</v>
      </c>
      <c r="G48" s="284" t="s">
        <v>2406</v>
      </c>
      <c r="H48" s="285" t="s">
        <v>2180</v>
      </c>
      <c r="I48" s="286" t="s">
        <v>117</v>
      </c>
      <c r="J48" s="286" t="s">
        <v>117</v>
      </c>
      <c r="K48" s="286" t="s">
        <v>117</v>
      </c>
      <c r="L48" s="285" t="s">
        <v>2385</v>
      </c>
      <c r="M48" s="285" t="s">
        <v>2407</v>
      </c>
      <c r="N48" s="287" t="s">
        <v>2183</v>
      </c>
      <c r="O48" s="288"/>
      <c r="P48" s="336"/>
      <c r="Q48" s="336"/>
      <c r="R48" s="290" t="s">
        <v>2408</v>
      </c>
      <c r="S48" s="291"/>
      <c r="T48" s="285"/>
    </row>
    <row r="49" spans="1:20" ht="60" customHeight="1" x14ac:dyDescent="0.3">
      <c r="A49" s="264">
        <v>46</v>
      </c>
      <c r="B49" s="265" t="s">
        <v>2409</v>
      </c>
      <c r="C49" s="266" t="s">
        <v>2410</v>
      </c>
      <c r="D49" s="269" t="s">
        <v>15</v>
      </c>
      <c r="E49" s="268" t="s">
        <v>2411</v>
      </c>
      <c r="F49" s="269" t="s">
        <v>2412</v>
      </c>
      <c r="G49" s="270" t="s">
        <v>2413</v>
      </c>
      <c r="H49" s="271" t="s">
        <v>2180</v>
      </c>
      <c r="I49" s="272" t="s">
        <v>117</v>
      </c>
      <c r="J49" s="272" t="s">
        <v>117</v>
      </c>
      <c r="K49" s="272" t="s">
        <v>117</v>
      </c>
      <c r="L49" s="271" t="s">
        <v>117</v>
      </c>
      <c r="M49" s="271" t="s">
        <v>2198</v>
      </c>
      <c r="N49" s="273" t="s">
        <v>2183</v>
      </c>
      <c r="O49" s="274"/>
      <c r="P49" s="276"/>
      <c r="Q49" s="276"/>
      <c r="R49" s="277" t="s">
        <v>2414</v>
      </c>
      <c r="S49" s="278"/>
      <c r="T49" s="271"/>
    </row>
  </sheetData>
  <autoFilter ref="A3:T3" xr:uid="{00000000-0009-0000-0000-000003000000}"/>
  <mergeCells count="2">
    <mergeCell ref="A1:T1"/>
    <mergeCell ref="A2:T2"/>
  </mergeCells>
  <hyperlinks>
    <hyperlink ref="P4" r:id="rId1" xr:uid="{00000000-0004-0000-0300-000000000000}"/>
    <hyperlink ref="P5" r:id="rId2" xr:uid="{00000000-0004-0000-0300-000001000000}"/>
    <hyperlink ref="Q5" r:id="rId3" xr:uid="{00000000-0004-0000-0300-000002000000}"/>
    <hyperlink ref="P6" r:id="rId4" xr:uid="{00000000-0004-0000-0300-000003000000}"/>
    <hyperlink ref="Q6" r:id="rId5" xr:uid="{00000000-0004-0000-0300-000004000000}"/>
    <hyperlink ref="P7" r:id="rId6" xr:uid="{00000000-0004-0000-0300-000005000000}"/>
    <hyperlink ref="Q7" r:id="rId7" xr:uid="{00000000-0004-0000-0300-000006000000}"/>
    <hyperlink ref="P8" r:id="rId8" xr:uid="{00000000-0004-0000-0300-000007000000}"/>
    <hyperlink ref="Q8" r:id="rId9" xr:uid="{00000000-0004-0000-0300-000008000000}"/>
    <hyperlink ref="P9" r:id="rId10" xr:uid="{00000000-0004-0000-0300-000009000000}"/>
    <hyperlink ref="Q9" r:id="rId11" xr:uid="{00000000-0004-0000-0300-00000A000000}"/>
    <hyperlink ref="P10" r:id="rId12" xr:uid="{00000000-0004-0000-0300-00000B000000}"/>
    <hyperlink ref="Q10" r:id="rId13" xr:uid="{00000000-0004-0000-0300-00000C000000}"/>
    <hyperlink ref="P11" r:id="rId14" xr:uid="{00000000-0004-0000-0300-00000D000000}"/>
    <hyperlink ref="Q11" r:id="rId15" xr:uid="{00000000-0004-0000-0300-00000E000000}"/>
    <hyperlink ref="P12" r:id="rId16" xr:uid="{00000000-0004-0000-0300-00000F000000}"/>
    <hyperlink ref="P13" r:id="rId17" xr:uid="{00000000-0004-0000-0300-000010000000}"/>
    <hyperlink ref="Q13" r:id="rId18" xr:uid="{00000000-0004-0000-0300-000011000000}"/>
    <hyperlink ref="P14" r:id="rId19" xr:uid="{00000000-0004-0000-0300-000012000000}"/>
    <hyperlink ref="Q14" r:id="rId20" xr:uid="{00000000-0004-0000-0300-000013000000}"/>
    <hyperlink ref="P15" r:id="rId21" xr:uid="{00000000-0004-0000-0300-000014000000}"/>
    <hyperlink ref="Q15" r:id="rId22" xr:uid="{00000000-0004-0000-0300-000015000000}"/>
    <hyperlink ref="P16" r:id="rId23" xr:uid="{00000000-0004-0000-0300-000016000000}"/>
    <hyperlink ref="Q16" r:id="rId24" xr:uid="{00000000-0004-0000-0300-000017000000}"/>
    <hyperlink ref="P17" r:id="rId25" xr:uid="{00000000-0004-0000-0300-000018000000}"/>
    <hyperlink ref="Q17" r:id="rId26" xr:uid="{00000000-0004-0000-0300-000019000000}"/>
    <hyperlink ref="P18" r:id="rId27" xr:uid="{00000000-0004-0000-0300-00001A000000}"/>
    <hyperlink ref="Q18" r:id="rId28" xr:uid="{00000000-0004-0000-0300-00001B000000}"/>
    <hyperlink ref="P20" r:id="rId29" xr:uid="{00000000-0004-0000-0300-00001C000000}"/>
    <hyperlink ref="Q20" r:id="rId30" xr:uid="{00000000-0004-0000-0300-00001D000000}"/>
    <hyperlink ref="P21" r:id="rId31" xr:uid="{00000000-0004-0000-0300-00001E000000}"/>
    <hyperlink ref="Q22" r:id="rId32" xr:uid="{00000000-0004-0000-0300-00001F000000}"/>
    <hyperlink ref="P23" r:id="rId33" xr:uid="{00000000-0004-0000-0300-000020000000}"/>
    <hyperlink ref="P24" r:id="rId34" xr:uid="{00000000-0004-0000-0300-000021000000}"/>
    <hyperlink ref="P25" r:id="rId35" xr:uid="{00000000-0004-0000-0300-000022000000}"/>
    <hyperlink ref="P26" r:id="rId36" xr:uid="{00000000-0004-0000-0300-000023000000}"/>
    <hyperlink ref="Q27" r:id="rId37" xr:uid="{00000000-0004-0000-0300-000024000000}"/>
    <hyperlink ref="P28" r:id="rId38" xr:uid="{00000000-0004-0000-0300-000025000000}"/>
    <hyperlink ref="Q28" r:id="rId39" xr:uid="{00000000-0004-0000-0300-000026000000}"/>
    <hyperlink ref="Q29" r:id="rId40" xr:uid="{00000000-0004-0000-0300-000027000000}"/>
    <hyperlink ref="P30" r:id="rId41" xr:uid="{00000000-0004-0000-0300-000028000000}"/>
    <hyperlink ref="P31" r:id="rId42" xr:uid="{00000000-0004-0000-0300-000029000000}"/>
    <hyperlink ref="Q31" r:id="rId43" xr:uid="{00000000-0004-0000-0300-00002A000000}"/>
    <hyperlink ref="P32" r:id="rId44" xr:uid="{00000000-0004-0000-0300-00002B000000}"/>
    <hyperlink ref="P33" r:id="rId45" xr:uid="{00000000-0004-0000-0300-00002C000000}"/>
    <hyperlink ref="P34" r:id="rId46" xr:uid="{00000000-0004-0000-0300-00002D000000}"/>
    <hyperlink ref="Q34" r:id="rId47" xr:uid="{00000000-0004-0000-0300-00002E000000}"/>
    <hyperlink ref="P35" r:id="rId48" xr:uid="{00000000-0004-0000-0300-00002F000000}"/>
    <hyperlink ref="P36" r:id="rId49" xr:uid="{00000000-0004-0000-0300-000030000000}"/>
    <hyperlink ref="P37" r:id="rId50" xr:uid="{00000000-0004-0000-0300-000031000000}"/>
    <hyperlink ref="P38" r:id="rId51" xr:uid="{00000000-0004-0000-0300-000032000000}"/>
    <hyperlink ref="P39" r:id="rId52" xr:uid="{00000000-0004-0000-0300-000033000000}"/>
    <hyperlink ref="P40" r:id="rId53" xr:uid="{00000000-0004-0000-0300-000034000000}"/>
    <hyperlink ref="P41" r:id="rId54" xr:uid="{00000000-0004-0000-0300-000035000000}"/>
    <hyperlink ref="Q41" r:id="rId55" xr:uid="{00000000-0004-0000-0300-000036000000}"/>
    <hyperlink ref="P42" r:id="rId56" xr:uid="{00000000-0004-0000-0300-000037000000}"/>
    <hyperlink ref="P44" r:id="rId57" xr:uid="{00000000-0004-0000-0300-00003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vt:lpstr>
      <vt:lpstr>📋 Leads</vt:lpstr>
      <vt:lpstr>📌 Guide</vt:lpstr>
      <vt:lpstr>🏠 Biens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Othmane Zniber</cp:lastModifiedBy>
  <dcterms:created xsi:type="dcterms:W3CDTF">2026-04-02T09:57:35Z</dcterms:created>
  <dcterms:modified xsi:type="dcterms:W3CDTF">2026-04-05T12:50:03Z</dcterms:modified>
</cp:coreProperties>
</file>